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A:\_01 Projetos\Estrategia\Pesquisas\Sintomas Organizacionais GT Susep Vida e RE - 26-09-01\"/>
    </mc:Choice>
  </mc:AlternateContent>
  <xr:revisionPtr revIDLastSave="0" documentId="13_ncr:1_{6010FFA8-7A56-4B81-A114-A93650B682C0}" xr6:coauthVersionLast="47" xr6:coauthVersionMax="47" xr10:uidLastSave="{00000000-0000-0000-0000-000000000000}"/>
  <bookViews>
    <workbookView xWindow="5310" yWindow="-11085" windowWidth="21600" windowHeight="11190" xr2:uid="{00000000-000D-0000-FFFF-FFFF00000000}"/>
  </bookViews>
  <sheets>
    <sheet name="Leia-me" sheetId="1" r:id="rId1"/>
    <sheet name="Resumo" sheetId="2" r:id="rId2"/>
    <sheet name="Sintomas" sheetId="3" r:id="rId3"/>
    <sheet name="Taxonomia" sheetId="4" r:id="rId4"/>
    <sheet name="Guia 1 Lente DO" sheetId="5" r:id="rId5"/>
    <sheet name="Guia 2 Fluxo demanda" sheetId="6" r:id="rId6"/>
    <sheet name="Guia 3 Triagem" sheetId="7" r:id="rId7"/>
    <sheet name="Guia 4 Concepcao-Entrega" sheetId="8" r:id="rId8"/>
    <sheet name="Guia 5 Blueprint Org" sheetId="9" r:id="rId9"/>
    <sheet name="Guia 6 Co-criacao" sheetId="10" r:id="rId10"/>
    <sheet name="Fontes" sheetId="11" r:id="rId11"/>
  </sheets>
  <definedNames>
    <definedName name="_xlnm._FilterDatabase" localSheetId="2" hidden="1">Sintomas!$A$1:$O$73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5" i="11" l="1"/>
  <c r="D24" i="11"/>
  <c r="D23" i="11"/>
  <c r="D22" i="11"/>
  <c r="D21" i="11"/>
  <c r="D20" i="11"/>
  <c r="D19" i="11"/>
  <c r="D18" i="11"/>
  <c r="D17" i="11"/>
  <c r="D16" i="11"/>
  <c r="D15" i="11"/>
  <c r="D14" i="11"/>
  <c r="D13" i="11"/>
  <c r="D12" i="11"/>
  <c r="D11" i="11"/>
  <c r="D10" i="11"/>
  <c r="D9" i="11"/>
  <c r="D8" i="11"/>
  <c r="D7" i="11"/>
  <c r="D6" i="11"/>
  <c r="D5" i="11"/>
  <c r="D4" i="11"/>
  <c r="D3" i="11"/>
  <c r="D2" i="11"/>
  <c r="I30" i="6"/>
  <c r="H30" i="6"/>
  <c r="G30" i="6"/>
  <c r="F30" i="6"/>
  <c r="E30" i="6"/>
  <c r="D30" i="6"/>
  <c r="C30" i="6"/>
  <c r="B30" i="6"/>
  <c r="J40" i="6" s="1"/>
  <c r="C44" i="4"/>
  <c r="D44" i="4" s="1"/>
  <c r="C43" i="4"/>
  <c r="D43" i="4" s="1"/>
  <c r="C42" i="4"/>
  <c r="D42" i="4" s="1"/>
  <c r="C41" i="4"/>
  <c r="D41" i="4" s="1"/>
  <c r="D40" i="4"/>
  <c r="C40" i="4"/>
  <c r="C39" i="4"/>
  <c r="D39" i="4" s="1"/>
  <c r="C38" i="4"/>
  <c r="D38" i="4" s="1"/>
  <c r="C37" i="4"/>
  <c r="D37" i="4" s="1"/>
  <c r="C36" i="4"/>
  <c r="D36" i="4" s="1"/>
  <c r="C35" i="4"/>
  <c r="D35" i="4" s="1"/>
  <c r="C34" i="4"/>
  <c r="D34" i="4" s="1"/>
  <c r="C33" i="4"/>
  <c r="D33" i="4" s="1"/>
  <c r="C32" i="4"/>
  <c r="D32" i="4" s="1"/>
  <c r="C31" i="4"/>
  <c r="D31" i="4" s="1"/>
  <c r="C30" i="4"/>
  <c r="D30" i="4" s="1"/>
  <c r="C29" i="4"/>
  <c r="D29" i="4" s="1"/>
  <c r="C28" i="4"/>
  <c r="D28" i="4" s="1"/>
  <c r="C27" i="4"/>
  <c r="D27" i="4" s="1"/>
  <c r="C26" i="4"/>
  <c r="D26" i="4" s="1"/>
  <c r="C25" i="4"/>
  <c r="D25" i="4" s="1"/>
  <c r="C24" i="4"/>
  <c r="D24" i="4" s="1"/>
  <c r="C23" i="4"/>
  <c r="D23" i="4" s="1"/>
  <c r="C22" i="4"/>
  <c r="D22" i="4" s="1"/>
  <c r="C21" i="4"/>
  <c r="D21" i="4" s="1"/>
  <c r="C20" i="4"/>
  <c r="D20" i="4" s="1"/>
  <c r="C19" i="4"/>
  <c r="D19" i="4" s="1"/>
  <c r="C18" i="4"/>
  <c r="D18" i="4" s="1"/>
  <c r="C17" i="4"/>
  <c r="D17" i="4" s="1"/>
  <c r="C16" i="4"/>
  <c r="D16" i="4" s="1"/>
  <c r="C15" i="4"/>
  <c r="D15" i="4" s="1"/>
  <c r="C14" i="4"/>
  <c r="D14" i="4" s="1"/>
  <c r="C13" i="4"/>
  <c r="D13" i="4" s="1"/>
  <c r="C12" i="4"/>
  <c r="D12" i="4" s="1"/>
  <c r="C11" i="4"/>
  <c r="D11" i="4" s="1"/>
  <c r="C10" i="4"/>
  <c r="D10" i="4" s="1"/>
  <c r="C9" i="4"/>
  <c r="D9" i="4" s="1"/>
  <c r="C8" i="4"/>
  <c r="D8" i="4" s="1"/>
  <c r="C7" i="4"/>
  <c r="D7" i="4" s="1"/>
  <c r="C6" i="4"/>
  <c r="D6" i="4" s="1"/>
  <c r="C5" i="4"/>
  <c r="D5" i="4" s="1"/>
  <c r="C4" i="4"/>
  <c r="D4" i="4" s="1"/>
  <c r="C3" i="4"/>
  <c r="D3" i="4" s="1"/>
  <c r="C2" i="4"/>
  <c r="D2" i="4" s="1"/>
  <c r="J73" i="3"/>
  <c r="O73" i="3" s="1"/>
  <c r="O72" i="3"/>
  <c r="J72" i="3"/>
  <c r="J71" i="3"/>
  <c r="O71" i="3" s="1"/>
  <c r="J70" i="3"/>
  <c r="O70" i="3" s="1"/>
  <c r="J69" i="3"/>
  <c r="O69" i="3" s="1"/>
  <c r="J68" i="3"/>
  <c r="O68" i="3" s="1"/>
  <c r="J67" i="3"/>
  <c r="O67" i="3" s="1"/>
  <c r="J66" i="3"/>
  <c r="O66" i="3" s="1"/>
  <c r="J65" i="3"/>
  <c r="O65" i="3" s="1"/>
  <c r="J64" i="3"/>
  <c r="O64" i="3" s="1"/>
  <c r="J63" i="3"/>
  <c r="O63" i="3" s="1"/>
  <c r="O62" i="3"/>
  <c r="J62" i="3"/>
  <c r="J61" i="3"/>
  <c r="O61" i="3" s="1"/>
  <c r="J60" i="3"/>
  <c r="O60" i="3" s="1"/>
  <c r="J59" i="3"/>
  <c r="O59" i="3" s="1"/>
  <c r="J58" i="3"/>
  <c r="O58" i="3" s="1"/>
  <c r="J57" i="3"/>
  <c r="O57" i="3" s="1"/>
  <c r="J56" i="3"/>
  <c r="O56" i="3" s="1"/>
  <c r="J55" i="3"/>
  <c r="O55" i="3" s="1"/>
  <c r="J54" i="3"/>
  <c r="O54" i="3" s="1"/>
  <c r="J53" i="3"/>
  <c r="O53" i="3" s="1"/>
  <c r="O52" i="3"/>
  <c r="J52" i="3"/>
  <c r="J51" i="3"/>
  <c r="O51" i="3" s="1"/>
  <c r="J50" i="3"/>
  <c r="O50" i="3" s="1"/>
  <c r="J49" i="3"/>
  <c r="O49" i="3" s="1"/>
  <c r="J48" i="3"/>
  <c r="O48" i="3" s="1"/>
  <c r="J47" i="3"/>
  <c r="O47" i="3" s="1"/>
  <c r="J46" i="3"/>
  <c r="O46" i="3" s="1"/>
  <c r="J45" i="3"/>
  <c r="O45" i="3" s="1"/>
  <c r="J44" i="3"/>
  <c r="O44" i="3" s="1"/>
  <c r="J43" i="3"/>
  <c r="O43" i="3" s="1"/>
  <c r="J42" i="3"/>
  <c r="O42" i="3" s="1"/>
  <c r="J41" i="3"/>
  <c r="O41" i="3" s="1"/>
  <c r="J40" i="3"/>
  <c r="O40" i="3" s="1"/>
  <c r="J39" i="3"/>
  <c r="O39" i="3" s="1"/>
  <c r="J38" i="3"/>
  <c r="O38" i="3" s="1"/>
  <c r="J37" i="3"/>
  <c r="O37" i="3" s="1"/>
  <c r="J36" i="3"/>
  <c r="O36" i="3" s="1"/>
  <c r="J35" i="3"/>
  <c r="O35" i="3" s="1"/>
  <c r="J34" i="3"/>
  <c r="O34" i="3" s="1"/>
  <c r="J33" i="3"/>
  <c r="O33" i="3" s="1"/>
  <c r="J32" i="3"/>
  <c r="O32" i="3" s="1"/>
  <c r="J31" i="3"/>
  <c r="O31" i="3" s="1"/>
  <c r="J30" i="3"/>
  <c r="O30" i="3" s="1"/>
  <c r="J29" i="3"/>
  <c r="O29" i="3" s="1"/>
  <c r="J28" i="3"/>
  <c r="O28" i="3" s="1"/>
  <c r="J27" i="3"/>
  <c r="O27" i="3" s="1"/>
  <c r="J26" i="3"/>
  <c r="O26" i="3" s="1"/>
  <c r="J25" i="3"/>
  <c r="O25" i="3" s="1"/>
  <c r="J24" i="3"/>
  <c r="O24" i="3" s="1"/>
  <c r="J23" i="3"/>
  <c r="O23" i="3" s="1"/>
  <c r="O22" i="3"/>
  <c r="J22" i="3"/>
  <c r="J21" i="3"/>
  <c r="O21" i="3" s="1"/>
  <c r="J20" i="3"/>
  <c r="O20" i="3" s="1"/>
  <c r="J19" i="3"/>
  <c r="O19" i="3" s="1"/>
  <c r="J18" i="3"/>
  <c r="O18" i="3" s="1"/>
  <c r="J17" i="3"/>
  <c r="O17" i="3" s="1"/>
  <c r="J16" i="3"/>
  <c r="O16" i="3" s="1"/>
  <c r="J15" i="3"/>
  <c r="O15" i="3" s="1"/>
  <c r="J14" i="3"/>
  <c r="O14" i="3" s="1"/>
  <c r="J13" i="3"/>
  <c r="O13" i="3" s="1"/>
  <c r="J12" i="3"/>
  <c r="O12" i="3" s="1"/>
  <c r="J11" i="3"/>
  <c r="O11" i="3" s="1"/>
  <c r="J10" i="3"/>
  <c r="O10" i="3" s="1"/>
  <c r="J9" i="3"/>
  <c r="O9" i="3" s="1"/>
  <c r="J8" i="3"/>
  <c r="O8" i="3" s="1"/>
  <c r="J7" i="3"/>
  <c r="O7" i="3" s="1"/>
  <c r="J6" i="3"/>
  <c r="O6" i="3" s="1"/>
  <c r="J5" i="3"/>
  <c r="O5" i="3" s="1"/>
  <c r="J4" i="3"/>
  <c r="O4" i="3" s="1"/>
  <c r="J3" i="3"/>
  <c r="O3" i="3" s="1"/>
  <c r="J2" i="3"/>
  <c r="O2" i="3" s="1"/>
  <c r="E7" i="2"/>
  <c r="D7" i="2"/>
  <c r="B7" i="2"/>
  <c r="E6" i="2"/>
  <c r="D6" i="2"/>
  <c r="B6" i="2"/>
  <c r="E5" i="2"/>
  <c r="D5" i="2"/>
  <c r="B5" i="2"/>
  <c r="E4" i="2"/>
  <c r="D4" i="2"/>
  <c r="B4" i="2"/>
  <c r="E3" i="2"/>
  <c r="D3" i="2"/>
  <c r="B3" i="2"/>
  <c r="B8" i="2" s="1"/>
  <c r="E2" i="2"/>
  <c r="D2" i="2"/>
  <c r="B2" i="2"/>
  <c r="D8" i="2" l="1"/>
  <c r="K30" i="6"/>
  <c r="J35" i="6"/>
  <c r="J36" i="6"/>
  <c r="E8" i="2"/>
  <c r="J32" i="6"/>
  <c r="C3" i="2"/>
  <c r="C7" i="2"/>
  <c r="C2" i="2"/>
  <c r="C6" i="2"/>
  <c r="C5" i="2"/>
  <c r="C4" i="2"/>
  <c r="A17" i="2"/>
  <c r="C16" i="2"/>
  <c r="B21" i="2"/>
  <c r="B16" i="2"/>
  <c r="A21" i="2"/>
  <c r="C18" i="2"/>
  <c r="C20" i="2"/>
  <c r="C15" i="2"/>
  <c r="B20" i="2"/>
  <c r="B15" i="2"/>
  <c r="A20" i="2"/>
  <c r="A15" i="2"/>
  <c r="D13" i="2"/>
  <c r="C13" i="2"/>
  <c r="B13" i="2"/>
  <c r="A13" i="2"/>
  <c r="B19" i="2"/>
  <c r="B14" i="2"/>
  <c r="A19" i="2"/>
  <c r="A14" i="2"/>
  <c r="D18" i="2"/>
  <c r="B18" i="2"/>
  <c r="A18" i="2"/>
  <c r="C12" i="2"/>
  <c r="C17" i="2"/>
  <c r="C21" i="2"/>
  <c r="B17" i="2"/>
  <c r="B12" i="2"/>
  <c r="A16" i="2"/>
  <c r="J33" i="6"/>
  <c r="K33" i="6" s="1"/>
  <c r="D12" i="2"/>
  <c r="D17" i="2"/>
  <c r="J34" i="6"/>
  <c r="K34" i="6" s="1"/>
  <c r="K35" i="6"/>
  <c r="K36" i="6"/>
  <c r="J37" i="6"/>
  <c r="C14" i="2"/>
  <c r="C19" i="2"/>
  <c r="K37" i="6"/>
  <c r="D14" i="2"/>
  <c r="D19" i="2"/>
  <c r="J38" i="6"/>
  <c r="K38" i="6"/>
  <c r="J39" i="6"/>
  <c r="K39" i="6" s="1"/>
  <c r="D15" i="2"/>
  <c r="D20" i="2"/>
  <c r="K40" i="6"/>
  <c r="D16" i="2"/>
  <c r="D21" i="2"/>
  <c r="A12" i="2"/>
  <c r="K32" i="6" l="1"/>
  <c r="C8" i="2"/>
</calcChain>
</file>

<file path=xl/sharedStrings.xml><?xml version="1.0" encoding="utf-8"?>
<sst xmlns="http://schemas.openxmlformats.org/spreadsheetml/2006/main" count="2071" uniqueCount="1519">
  <si>
    <t>Título</t>
  </si>
  <si>
    <t>Sintomas organizacionais do GT Evoluir Modelo de Negócio SUSEP Vida e RE (Seguros Unimed)</t>
  </si>
  <si>
    <t>Base</t>
  </si>
  <si>
    <t>Notebook 'Estratégia e Operações Susep: Gestão de Vida e Ramos Elementares' (NotebookLM, id ede3f19c-4ce2-4ccf-a50c-ddcfd4d96e95): 24 fontes (1 deck do PIE mai/26 e 23 atas de reuniões do GT, mentores e consultoria, de 30/03/2026 a 17/08/2026). Ver aba Fontes.</t>
  </si>
  <si>
    <t>Data de elaboração</t>
  </si>
  <si>
    <t>01/09/2026</t>
  </si>
  <si>
    <t>O que é sintoma aqui</t>
  </si>
  <si>
    <t>Problema, bloqueio, atrito ou limitação registrado nas fontes como algo que dificulta o trabalho do grupo ou o resultado do negócio. Não inclui iniciativas, entregas ou decisões em si, só o que elas revelam de problema.</t>
  </si>
  <si>
    <t>Categorias e elementos</t>
  </si>
  <si>
    <t>Seis categorias definidas pelo solicitante (Organização do Trabalho, Governança, Coordenação, Informação, Recursos, Tecnologia), com os elementos listados na aba Taxonomia. 'Data fixação' foi interpretado como Dataficação (transformação de atividade em dado).</t>
  </si>
  <si>
    <t>Perguntas-guia</t>
  </si>
  <si>
    <t>Cada sintoma responde às três perguntas na aba Sintomas: (1) Como este elemento se manifesta na prática; (2) Quais relações estruturais o sustentam; (3) Que evidências permitem avaliá-lo. A coluna 'Evidência nas fontes' traz citação ou paráfrase fiel com o código da fonte. Atenção: as colunas 'Como se manifesta' e 'Evidência nas fontes' descrevem o que as fontes registram; as colunas 'Relações estruturais' e 'Evidências para avaliá-lo' são leitura analítica deste diagnóstico (inferência e proposta de medição), não citação.</t>
  </si>
  <si>
    <t>Tipo de evidência</t>
  </si>
  <si>
    <t>Direta: o sintoma está dito nas fontes com essas palavras ou equivalentes. Inferida: o sintoma é lido a partir de fatos registrados, mas a fonte não o nomeia. Sem evidência: elemento da taxonomia sem registro nas 24 fontes.</t>
  </si>
  <si>
    <t>Classificação</t>
  </si>
  <si>
    <t>Cada sintoma recebeu uma categoria e um elemento principais. Vários poderiam entrar em mais de um (ex.: renovação as-is é Autonomia, Handoff e Ferramenta). A escolha privilegiou a causa mais próxima descrita na própria fonte.</t>
  </si>
  <si>
    <t>Recorrência</t>
  </si>
  <si>
    <t>'Nº de fontes' é calculado por fórmula a partir da coluna Fontes. 'Primeira' e 'Última menção' mostram a persistência do sintoma no período.</t>
  </si>
  <si>
    <t>Limites</t>
  </si>
  <si>
    <t>As fontes são atas produzidas pelo próprio grupo; registram o que foi dito em reunião, não medições. Algumas trazem marcas de geração automática (nota de sistema em F14, pergunta de assistente ao final de F22). O deck do PIE foi lido a partir das imagens dos slides. F07 e F08 são a mesma ata; F24 traz o mesmo bloco duplicado. Nenhum número foi criado além do que está nas fontes.</t>
  </si>
  <si>
    <t>Como usar</t>
  </si>
  <si>
    <t>Filtre a aba Sintomas por Categoria ou Elemento. A aba Resumo conta sintomas por categoria e a aba Taxonomia mostra cobertura por elemento, apontando lacunas ('Sem evidência nas fontes').</t>
  </si>
  <si>
    <t>Guias (lente de design organizacional)</t>
  </si>
  <si>
    <t>Guia 1 Lente DO: o que é disfuncional e o que precisa ser definido, por dimensão do design. Guia 2 Fluxo demanda: como os desafios chegam e saem, critérios de relevância e modelo de pontuação. Guia 3 Triagem: tipos de problema (estrutural, BAU, adequação, oportunidade), time de análise, o que estudar ou terceirizar, controle e medida. Guia 4 Concepção-Entrega: pipeline da estratégia à entrega com gates e regras. Guia 5 Blueprint Org: governança, times, dinâmicas e fluxo em raias. Guia 6 Co-criação: sessões para criar com o time e indicadores do design.</t>
  </si>
  <si>
    <t>Status dos guias</t>
  </si>
  <si>
    <t>PROPOSTA. Os guias não são fatos das fontes: são um desenho derivado dos sintomas, para ser validado e ajustado pelo próprio time (Guia 6). Células amarelas = proposta; azuis = entrada a preencher; cada linha cita os IDs dos sintomas que endereça. Números dentro das propostas (cotas, limites, horas de dedicação, pesos) são pontos de partida para calibrar nas sessões do Guia 6, não recomendações fechadas.</t>
  </si>
  <si>
    <t>Categoria</t>
  </si>
  <si>
    <t>Nº de sintomas</t>
  </si>
  <si>
    <t>% do total</t>
  </si>
  <si>
    <t>Evidência direta</t>
  </si>
  <si>
    <t>Evidência inferida</t>
  </si>
  <si>
    <t>Organização do Trabalho</t>
  </si>
  <si>
    <t>Governança</t>
  </si>
  <si>
    <t>Coordenação</t>
  </si>
  <si>
    <t>Informação</t>
  </si>
  <si>
    <t>Recursos</t>
  </si>
  <si>
    <t>Tecnologia</t>
  </si>
  <si>
    <t>Total</t>
  </si>
  <si>
    <t>Sintomas mais recorrentes (por nº de fontes)</t>
  </si>
  <si>
    <t>ID</t>
  </si>
  <si>
    <t>Nº de fontes</t>
  </si>
  <si>
    <t>Sintoma</t>
  </si>
  <si>
    <t>Nota: em empate no nº de fontes, a ordem segue a posição na aba Sintomas (chave de ordenação na coluna O).</t>
  </si>
  <si>
    <t>Elemento</t>
  </si>
  <si>
    <t>Sintoma / Problema</t>
  </si>
  <si>
    <t>Como este elemento se manifesta na prática</t>
  </si>
  <si>
    <t>Quais relações estruturais o sustentam</t>
  </si>
  <si>
    <t>Que evidências permitem avaliá-lo (indicadores e checagens)</t>
  </si>
  <si>
    <t>Evidência nas fontes (citação ou paráfrase)</t>
  </si>
  <si>
    <t>Fontes</t>
  </si>
  <si>
    <t>Primeira menção</t>
  </si>
  <si>
    <t>Última menção</t>
  </si>
  <si>
    <t>Ramo / Canal afetado</t>
  </si>
  <si>
    <t>Chave de ordenação (fórmula)</t>
  </si>
  <si>
    <t>OT-01</t>
  </si>
  <si>
    <t>Padrões</t>
  </si>
  <si>
    <t>Reuniões sem pauta prévia e queda de engajamento no formato híbrido</t>
  </si>
  <si>
    <t>Diversas reuniões na empresa ocorrem sem pauta. Encontros híbridos perdem envolvimento em comparação ao presencial (treinamento OKR). Frente de Cultura lança campanha de boas práticas (pauta, objetivo, resultados esperados).</t>
  </si>
  <si>
    <t>Ausência de padrão corporativo para convites de reunião; regime híbrido (sextas em home office; cursos às terças e quintas à tarde); cultura de reunião como espaço de descoberta e não de decisão.</t>
  </si>
  <si>
    <t>% de convites com pauta e resultado esperado; nº de reuniões canceladas ou sem quórum; comparação de participação presencial vs. híbrida; adoção das diretrizes da frente de Cultura.</t>
  </si>
  <si>
    <t>F21: 'ocorrência frequente de reuniões sem pauta na empresa'; 'queda de engajamento em reuniões no formato híbrido'; 'a interação presencial gerou um grande envolvimento que costuma se perder em reuniões híbridas'. F02: 'risco de possível perda em agendas híbridas'.</t>
  </si>
  <si>
    <t>F02; F21</t>
  </si>
  <si>
    <t>30/03/2026</t>
  </si>
  <si>
    <t>03/08/2026</t>
  </si>
  <si>
    <t>Vida e RE</t>
  </si>
  <si>
    <t>Direta</t>
  </si>
  <si>
    <t>OT-02</t>
  </si>
  <si>
    <t>Regras de aceitação médica e subscrição descoladas do mercado geram perda de negócios</t>
  </si>
  <si>
    <t>Companhia recusa ou manda para exame patologias que o mercado aceita (hipertensão controlada, diabetes, IMC). Corretor orienta o mercado a 'nem calcular na Unimed'. Preço é competitivo; o gargalo real é aceitação e travas sistêmicas. 22% das pendências ligadas a aceitação médica e documentos não devolvidos. Ajustes chegam em ondas (IMC jan/26; tábua e IMC 25 para 30 em ago/26).</t>
  </si>
  <si>
    <t>Apetite de risco corporativo conservador; auditoria médica com regras fixas; DPS com perguntas fixas sem árvore inteligente; ausência de tarifação adaptada por patologia; regra decidida sem comparativo de mercado sistemático.</t>
  </si>
  <si>
    <t>Taxa de recusa e de pendência por motivo; comparativo de critérios de aceitação vs. concorrentes; volume de propostas perdidas após pedido de exame; tempo médio de aceitação; 'número invisível' (cotações não feitas).</t>
  </si>
  <si>
    <t>F07: 'Avaliar a aceitação técnica em comparação ao mercado para evitar perdas de negócios por rigidez processual'. F10: 'Descolamento das regras da companhia frente ao mercado'. F18: 'O gargalo real mapeado foi a aceitação e as travas sistêmicas... o que faz o corretor orientar o mercado a nem calcular na Unimed'. F23: 'Fricção e morosidade no processo de aceitação do Vida... migração de corretores para concorrentes'.</t>
  </si>
  <si>
    <t>F07; F10; F18; F23</t>
  </si>
  <si>
    <t>04/05/2026</t>
  </si>
  <si>
    <t>17/08/2026</t>
  </si>
  <si>
    <t>Vida</t>
  </si>
  <si>
    <t>OT-03</t>
  </si>
  <si>
    <t>Papéis</t>
  </si>
  <si>
    <t>Responsabilidades pouco claras entre áreas; Estratégia Comercial vira destino de assuntos avulsos</t>
  </si>
  <si>
    <t>Demandas chegam sem filtro à Estratégia Comercial. Outras áreas desconhecem produtos e responsabilidades da SUSEP. O grupo debate se a solução é RH (cargos e capacity) ou planos diretivos, e conclui que é mudança cultural.</t>
  </si>
  <si>
    <t>Matriz de responsabilidades inexistente ou não difundida; SUSEP tratada como tema periférico dentro de uma companhia centrada em Saúde; ausência de porta de entrada única para demandas.</t>
  </si>
  <si>
    <t>Existência e uso de matriz RACI por processo; % de demandas recebidas pela Estratégia Comercial fora do seu escopo; tempo gasto em 'assuntos avulsos'; nº de áreas que conhecem o portfólio SUSEP (pesquisa interna).</t>
  </si>
  <si>
    <t>F21: 'Necessidade de clareza sobre as responsabilidades de cada área para evitar que a estratégia comercial seja sempre a responsável de assuntos avulsos'; 'É crucial evitar o direcionamento de demandas sem filtro para a área de Estratégia Comercial'; Glace: 'há um desconhecimento geral sobre produtos e responsabilidades'.</t>
  </si>
  <si>
    <t>F21</t>
  </si>
  <si>
    <t>OT-04</t>
  </si>
  <si>
    <t>Carga de trabalho</t>
  </si>
  <si>
    <t>Operação saturada: sem capacidade para novos OKRs ou projetos</t>
  </si>
  <si>
    <t>A operação (subscrição e operação, segundo a ata) declara que já está sobrecarregada para sustentar as entregas correntes. O grupo decide formalmente não assumir novos OKRs impulsionadores nem cadastrar novas iniciativas, e passa a defender isso nos fóruns executivos.</t>
  </si>
  <si>
    <t>Ausência de equipe dedicada a projetos ou inovação (só Produtos tem subárea de projetos); rotina operacional consome o mesmo braço que executaria a estratégia; meta de crescimento de 20% pressiona por novas frentes sem alocação de pessoal.</t>
  </si>
  <si>
    <t>Horas de rotina vs. horas em iniciativas por pessoa; nº de iniciativas ativas por responsável; nº de OKRs recusados por falta de braço; backlog de melhorias operacionais paradas; nota de 'processos' na pesquisa de clima.</t>
  </si>
  <si>
    <t>F20: 'a operação atual já está bastante sobrecarregada... não havendo capacidade técnica para a criação de novos OKRs'. F22: 'dificuldade de assumir novos projetos devido à alta carga de rotina... inexistência de equipe exclusiva para inovação'; 'ações profundas de retenção dependem de capacity das áreas'.</t>
  </si>
  <si>
    <t>F20; F22</t>
  </si>
  <si>
    <t>11/08/2026</t>
  </si>
  <si>
    <t>OT-05</t>
  </si>
  <si>
    <t>Desfalque de consultores estratégicos sobrecarrega a liderança do GT</t>
  </si>
  <si>
    <t>Três consultores (Aline, Márcio, Cibele) saem do time de estratégia comercial em RE e Vida. A líder Jacqueline absorve o dia a dia operacional e a implantação do novo modelo de Placement, além de acompanhar a esteira da Corretora Digital. Como alívio, a condução das reuniões semanais passa a ser rotativa com o colíder Alan.</t>
  </si>
  <si>
    <t>Reposição de pessoal lenta; liderança técnica acumula papel de executora; estrutura enxuta sem redundância de competências; frentes de canais dependem do mesmo time reduzido.</t>
  </si>
  <si>
    <t>Headcount previsto vs. real na estratégia comercial; tempo médio de reposição; % da agenda da líder em tarefas operacionais; nº de entregas atrasadas atribuídas a falta de braço.</t>
  </si>
  <si>
    <t>F14: 'Déficit severo de braços técnicos (desfalque de três consultores estratégicos em RE e Vida), sobrecarregando a liderança'. F16: 'Desfalque no time de consultores (saídas de Aline, Márcio e Cibele), gerando sobrecarga'. F18: 'time de estratégia comercial com time reduzido'.</t>
  </si>
  <si>
    <t>F14; F16; F18</t>
  </si>
  <si>
    <t>11/06/2026</t>
  </si>
  <si>
    <t>13/07/2026</t>
  </si>
  <si>
    <t>Vida e RE (estratégia comercial)</t>
  </si>
  <si>
    <t>OT-06</t>
  </si>
  <si>
    <t>Autonomia</t>
  </si>
  <si>
    <t>Corretor sem autonomia na renovação: ferramenta sobe só o as-is e força emissão como seguro novo</t>
  </si>
  <si>
    <t>Na renovação do residencial o corretor não consegue alterar coberturas ou LMG e emite uma nova apólice, o que aparece como evasão no indicador de renovação e migra renovações para a esteira de 'venda nova'.</t>
  </si>
  <si>
    <t>Ferramenta especificada por Produtos sem alinhamento com Operação/Subscrição; esteira de renovação tratada como réplica e não como negociação; indicadores desenhados sem considerar o comportamento induzido pela ferramenta.</t>
  </si>
  <si>
    <t>Taxa de renovação real vs. registrada; nº de apólices 'novas' com CPF e risco idênticos a apólice vencida; % de renovações com alteração de cobertura; retenção após entrega do Calcule+ mês 09.</t>
  </si>
  <si>
    <t>F22: 'a ferramenta atual subiu apenas o as-is, impedindo o corretor de alterar coberturas/LMG e forçando-o a emitir uma nova apólice'; 'falha funcional na ferramenta de renovação do residencial criada por Produtos'.</t>
  </si>
  <si>
    <t>F22</t>
  </si>
  <si>
    <t>RE (Residencial)</t>
  </si>
  <si>
    <t>OT-07</t>
  </si>
  <si>
    <t>Direitos decisórios</t>
  </si>
  <si>
    <t>Compliance e subscrição decidem por análise subjetiva: falso positivo recusa proposta de R$ 1 milhão</t>
  </si>
  <si>
    <t>Cliente da Unicred tem proposta de Vida recusada e enviada ao Compliance por suspeita de lavagem devido a pequena divergência de renda declarada. Gerentes das cooperativas preferem migrar para concorrentes com aceitação automática.</t>
  </si>
  <si>
    <t>Direito de decidir a aceitação distribuído entre subscrição, medicina e compliance sem regra clara de alçada por capital segurado; falta de aculturamento interno sobre o produto; atrito burocrático em capitais menores.</t>
  </si>
  <si>
    <t>Nº de propostas enviadas a compliance por faixa de capital e desfecho; tempo de decisão; existência de alçadas por valor; % de falsos positivos; perda de engajamento medida junto aos gerentes das cooperativas.</t>
  </si>
  <si>
    <t>F11: 'proposta de R$ 1 milhão (Vida) foi recusada e encaminhada ao Compliance sob suspeita de lavagem de dinheiro devido a uma pequena divergência de renda'; 'excesso de atrito burocrático e o risco iminente de perder o engajamento dos gerentes de contas das cooperativas'; 'mitigando análises subjetivas excessivas em capitais segurados menores'.</t>
  </si>
  <si>
    <t>F11</t>
  </si>
  <si>
    <t>18/05/2026</t>
  </si>
  <si>
    <t>Vida (canal Cooperativas)</t>
  </si>
  <si>
    <t>OT-08</t>
  </si>
  <si>
    <t>Conhecimento local</t>
  </si>
  <si>
    <t>Conhecimento dos escritórios regionais e gerentes pouco capturado na análise de evasão de corretores</t>
  </si>
  <si>
    <t>Pesquisa com escritórios sobre motivos de saída de corretores fica 'aguardando retornos' e não finalizada em agosto. Relatório 'lupa' regionalizado pelos 9 gerentes é prometido em julho. Percepção da ponta sobre recusas diverge dos números operacionais.</t>
  </si>
  <si>
    <t>Análise conduzida centralmente pela estratégia; gerentes regionais consultados por pesquisa assíncrona; ausência de rito regular de escuta da ponta; dados de origem (ponto de venda) não rastreáveis.</t>
  </si>
  <si>
    <t>Taxa de resposta dos escritórios; existência do relatório regional; nº de decisões comerciais que citam insumo da ponta; convergência entre percepção da ponta e indicadores (reunião de alinhamento de recusas).</t>
  </si>
  <si>
    <t>F24: 'Pesquisa com os escritórios sobre os motivos de saída (churn) de corretores (aguardando retornos)'. F21: 'Pesquisa sobre corretores ainda não foi finalizada'. F18: 'A estratégia vai entregar nesta semana um relatório com lupa regionalizada (pelos 9 gerentes)'. F23: 'Esclarecer os dados reais de recusas na reunião com os gerentes comerciais... para alinhar a percepção do time de ponta com os números operacionais'.</t>
  </si>
  <si>
    <t>F18; F21; F23; F24</t>
  </si>
  <si>
    <t>Vida e RE (canal Corretor)</t>
  </si>
  <si>
    <t>Inferida</t>
  </si>
  <si>
    <t>OT-09</t>
  </si>
  <si>
    <t>Interdependência</t>
  </si>
  <si>
    <t>Frentes de negócio dependem da fila da TI e da área de Projetos para qualquer automação</t>
  </si>
  <si>
    <t>Motores de cálculo só funcionam com front-end; front-ends e motores não são desenvolvidos em sincronia (ociosidade). Hub de Cooperativas depende de Rafael/Projetos para levantamentos. Melhorias em cotadores, APIs e renovação aguardam a esteira de TI.</t>
  </si>
  <si>
    <t>TI centralizada com capacidade limitada atendendo Saúde, Odonto e SUSEP; sem squads dedicadas por negócio até jun/26; planejamento atuarial reativo a 'pedidos avulsos'.</t>
  </si>
  <si>
    <t>Lead time de demandas SUSEP na fila de TI; nº de entregas bloqueadas por dependência externa; % do backlog SUSEP com desenvolvedor alocado; existência de squad dedicada.</t>
  </si>
  <si>
    <t>F05: 'dependência da TI (equipe da Alessandra) para automação'; 'alinhar a implementação de front-ends com o desenvolvimento de motores de cálculo para evitar ociosidade'. F15: Landi 'está na dependência de Rafael e equipe de projetos para levantamentos'. F22: 'gargalos constantes na fila de priorização de TI'. F09: tarefa recorrente da TI de 'varredura de melhorias pendentes nos cotadores para evitar descontentamento de corretores'.</t>
  </si>
  <si>
    <t>F05; F09; F15; F22</t>
  </si>
  <si>
    <t>09/04/2026</t>
  </si>
  <si>
    <t>OT-10</t>
  </si>
  <si>
    <t>Marketing, Comercial e Produtos não andam juntos: patrocínio do SPFC sem plano de negócio integrado</t>
  </si>
  <si>
    <t>Contrato de R$ 45 milhões (até 2028) sem plano imediato para converter exposição em vendas. Marketing cobra condições comerciais da corretora digital e avança tratativas com o clube sem aval técnico da Estratégia. Desenvolvimento de novo produto demora cerca de dois anos.</t>
  </si>
  <si>
    <t>Decisão de patrocínio tomada fora do circuito comercial/produtos; contrapartidas não comunicadas às áreas; ausência de rito de ativação comercial de marca; ciclo de produto lento.</t>
  </si>
  <si>
    <t>Existência de plano de negócios do patrocínio com metas de venda; nº de tratativas comerciais com o clube que passaram por validação técnica; prazo médio de desenvolvimento de produto; receita atribuída à ativação.</t>
  </si>
  <si>
    <t>F12: 'Questionou-se a falta de um plano de negócios integrado e imediato para converter a exposição de marca em vendas... as áreas não andam juntas e que o desenvolvimento de novos produtos costuma demorar cerca de dois anos'. F15: 'tratativas comerciais avançadas... estão ocorrendo diretamente com o São Paulo FC, omitindo o aval técnico da estratégia'. F13: 'o Marketing cobrou o envio para a corretora digital por condições comerciais e descontos sem um alinhamento prévio estratégico'. F16: 'o Marketing solicitou a definição de uma condição diferenciada (desconto) para a loja do Sócio Torcedor'.</t>
  </si>
  <si>
    <t>F12; F13; F15; F16</t>
  </si>
  <si>
    <t>01/06/2026</t>
  </si>
  <si>
    <t>22/06/2026</t>
  </si>
  <si>
    <t>Vida e RE (Marketing)</t>
  </si>
  <si>
    <t>OT-11</t>
  </si>
  <si>
    <t>Divisão do trabalho</t>
  </si>
  <si>
    <t>Vida e RE misturados no mesmo grupo, relatório e metas, gerando confusão estratégica</t>
  </si>
  <si>
    <t>Mentor pede desde março a separação das pautas, dos fluxos de acompanhamento e das metas por ramo e produto. Em junho a segregação ainda é 'prometida há meses' e o grupo teme cobrança da diretoria por dados agregados. A reestruturação do Estratos em duas esteiras só é desenhada em junho.</t>
  </si>
  <si>
    <t>Dinâmicas de distribuição e perfis de cliente muito distintos entre Vida e RE; um único GT e um único relatório para dois negócios; meta global de 20% não desmembrada; ferramenta de gestão organizada por iniciativa e não por ramo/canal.</t>
  </si>
  <si>
    <t>Existência de metas, indicadores e relatórios abertos por ramo e por produto; tempo entre a diretriz do mentor e a implementação; nº de reuniões com pauta segregada (30 min por tema).</t>
  </si>
  <si>
    <t>F01 (slide 9): mentor Aguiar 'Recomendou separar claramente as reuniões e os fluxos de acompanhamento dos ramos Vida e RE... evitar confusão estratégica'. F13: 'Urgência na separação dos ramos Vida e RE dentro do status e do relatório (Stratws)... evitando penalizações da diretoria por dados agregados'; 'a divisão já vem sendo prometida há meses'. F14: nova árvore Vida x RE. Contraponto F02: a mistura 'gera transbordo de ideias positivas'. F03: 'Rodrigo Aguiar propôs a separação clara das pautas de Vida e Ramos Elementares nas reuniões'. F09: tarefa 'Abertura das metas por ramo', prazo agosto/2026. F17: 'O extrato de acompanhamento atual (Estratos) será encerrado para a abertura de um novo modelo que reflita... ações divididos por canais e segmentos (Vida e RE)'.</t>
  </si>
  <si>
    <t>F01; F02; F03; F09; F13; F14; F17</t>
  </si>
  <si>
    <t>29/06/2026</t>
  </si>
  <si>
    <t>OT-12</t>
  </si>
  <si>
    <t>Canal Unimed pulverizado entre áreas, sem coordenação, com sobreposição de contatos nas mesmas Unimeds</t>
  </si>
  <si>
    <t>Ações no canal Unimed espalhadas entre squads e áreas, gerando conflitos de atuação. Operação (Aretha) e Canais (Landi) precisam alinhar para não sobrepor contatos. Mentor determina nova diretriz sob liderança de Landi. Unimeds começam a criar corretoras cativas.</t>
  </si>
  <si>
    <t>Canal 'de casa' tratado como responsabilidade de todos e de ninguém; ausência de guarda-chuva comercial estruturado; companhia se diz 'seguradora do sistema' sem dados tratados para agir.</t>
  </si>
  <si>
    <t>Nº de áreas que abordam a mesma Unimed em um trimestre; existência de dono único do canal; plano de ataque segmentado por Unimed entregue; produção do canal vs. meta.</t>
  </si>
  <si>
    <t>F17: 'Sobre o Canal Unimed, há uma pulverização de ações entre áreas e falta de coordenação... o que gera conflitos de atuação entre squads'. F02: 'Aretha e Landi devem alinhar os assuntos para evitar sobreposição de contatos nas mesmas Unimeds'. F07: 'Necessidade de uma estratégia nacional coordenada'. F22: 'urgência de criar um guarda-chuva comercial estruturado'.</t>
  </si>
  <si>
    <t>F02; F07; F17; F22</t>
  </si>
  <si>
    <t>Vida e RE (canal Unimed)</t>
  </si>
  <si>
    <t>OT-13</t>
  </si>
  <si>
    <t>Especialização</t>
  </si>
  <si>
    <t>Conhecimento de SUSEP concentrado no GT; demais áreas e o sistema Unimed desconhecem o negócio</t>
  </si>
  <si>
    <t>Produtos ANS procura a Estratégia para cross-sell e esbarra no desconhecimento da complexidade dos produtos SUSEP. Mercado e sistema Unimed têm a percepção de que a companhia 'não conhece Susep'. Historicamente a empresa operou com desconhecimento dos fundamentos SUSEP e de forma departamentalizada. Proposta: reapresentar o portfólio na agenda institucional de sexta-feira e trilhas com a Faculdade Unimed.</t>
  </si>
  <si>
    <t>Companhia nascida e organizada em torno de Saúde; SUSEP como segundo motor ainda em construção; conhecimento técnico existe mas não circula; treinamento formal (Faculdade Unimed) só previsto para o 2º semestre de 2026.</t>
  </si>
  <si>
    <t>% de colaboradores de áreas de apoio que conhecem o portfólio SUSEP; nº de iniciativas de cross-sell inviabilizadas por desconhecimento; execução das trilhas de treinamento; percepção externa em pesquisa com Unimeds e corretores.</t>
  </si>
  <si>
    <t>F21: 'Desconhecimento por parte de outras áreas (ex: Produtos ANS) sobre a complexidade dos produtos de SUSEP, o que inviabiliza iniciativas conjuntas de cross-sell'. F03: 'percepção externa de que a companhia não conhece Susep'. F12: 'historicamente, a empresa operava com desconhecimento dos fundamentos da Susep e de forma muito departamentalizada'. F01 (slide 9): 'apesar da evolução técnica interna, o mercado e o sistema Unimed precisam reconhecer a expertise da companhia'.</t>
  </si>
  <si>
    <t>F01; F03; F12; F21</t>
  </si>
  <si>
    <t>OT-14</t>
  </si>
  <si>
    <t>Agências das cooperativas não têm conhecimento técnico para vender Vida</t>
  </si>
  <si>
    <t>Baixa oferta de Vida nas cooperativas de crédito porque as agências dependem dos executivos da seguradora para vender Vida Global e Multiproteção. RCP Individual na Unicred com oferta baixa.</t>
  </si>
  <si>
    <t>Seguro não é o core business das cooperativas; produto complexo exige consultoria; ausência de esteira simples e digital que dispense conhecimento técnico na ponta.</t>
  </si>
  <si>
    <t>Nº de cotações originadas por agência sem apoio de executivo; taxa de conversão por agência; horas de treinamento entregues às cooperativas; adoção de cotadores integrados.</t>
  </si>
  <si>
    <t>F04: 'Baixa oferta de Vida nas cooperativas por falta de conhecimento técnico das agências'; 'dificuldade das agências em vender Vida Global e Multiproteção (dependência dos executivos)'. F11: 'o produto deve ser fluido, digital e sem fricção para o colaborador e para o cooperado'.</t>
  </si>
  <si>
    <t>F04; F11</t>
  </si>
  <si>
    <t>06/04/2026</t>
  </si>
  <si>
    <t>OT-15</t>
  </si>
  <si>
    <t>Assimetria de estrutura: só Produtos tem subárea de projetos; operação cria comissão interna improvisada</t>
  </si>
  <si>
    <t>Para mitigar notas baixas de processos na pesquisa de clima, a área de subscrição/operação cria uma comissão interna com 11 de 42 colaboradores para melhorias pontuais com ferramentas próprias, por não existir equipe de inovação.</t>
  </si>
  <si>
    <t>Estrutura organizacional sem função de melhoria contínua nas áreas operacionais; recursos de projeto concentrados em Produtos; melhorias dependem de voluntariado interno.</t>
  </si>
  <si>
    <t>Existência de função formal de processos/projetos por área; horas dedicadas pela comissão; nº de melhorias implantadas; evolução da nota de processos no clima.</t>
  </si>
  <si>
    <t>F22: 'criou uma comissão interna (11 de 42 colaboradores) para melhorias pontuais com ferramentas próprias'; 'assimetria de estrutura (apenas a área de Produtos possui subárea dedicada a projetos)'.</t>
  </si>
  <si>
    <t>Vida e RE (operação)</t>
  </si>
  <si>
    <t>OT-16</t>
  </si>
  <si>
    <t>Accountability</t>
  </si>
  <si>
    <t>Engajamento só durante a reunião; sem avanço entre agendas e 'lições de casa' não feitas</t>
  </si>
  <si>
    <t>Reunião de segunda vira início de discussão em vez de deliberação. Planilha de necessidades para o fórum de priorização fica sem preenchimento por semanas e precisa de lembretes e novos prazos. Em agosto o grupo 'não organizou as próximas iniciativas'.</t>
  </si>
  <si>
    <t>Membros do GT acumulam a função com a rotina de suas áreas; sem tempo protegido; responsabilização individual difusa (tarefas 'todos os participantes'); reunião semanal como único momento de trabalho conjunto.</t>
  </si>
  <si>
    <t>% de tarefas concluídas no prazo entre reuniões; nº de lembretes por entrega; tempo de preenchimento de planilhas coletivas; proporção da reunião gasta em status vs. deliberação.</t>
  </si>
  <si>
    <t>F03: 'Pedido explícito para que os membros concluam suas lições de casa durante a semana para que a reunião... seja de deliberação, não de início de discussões'. F14: 'participantes demonstrem excelente engajamento exclusivamente durante a execução das agendas semanais, sem evolução prática no período intermediário'. F16: 'dificuldades de preenchimento global da planilha'. F17 e F20: novos prazos para quem não preencheu. F21: 'O grupo não organizou as próximas iniciativas'.</t>
  </si>
  <si>
    <t>F03; F14; F16; F17; F20; F21</t>
  </si>
  <si>
    <t>GV-01</t>
  </si>
  <si>
    <t>Delegação</t>
  </si>
  <si>
    <t>Diretriz do mentor (abrir metas por ramo e produto) leva meses para virar entrega</t>
  </si>
  <si>
    <t>Pedido na PIE de maio, a abertura das metas por ramo recebe prazo para agosto. Em julho o grupo decide usar painéis OIC existentes para não onerar a Controladoria. Planilha da PIE contempla só ramos consolidados.</t>
  </si>
  <si>
    <t>Diretriz delegada sem dono, prazo e recurso; Controladoria como gargalo de painéis; frente estratégica sem acesso direto a dados por produto.</t>
  </si>
  <si>
    <t>Tempo entre diretriz de mentor e entrega; % de diretrizes de mentores com dono e prazo registrados; disponibilidade de relatório por produto nos fóruns.</t>
  </si>
  <si>
    <t>F01 (slide 9): 'Direcionou a necessidade de verificar e desmembrar a meta global de 20%'. F09: tarefa 'Abertura das metas por ramo' com prazo 'Agosto/2026'. F24: 'pedido do Aguiar para que os resultados fossem abertos por produto'; decisão de usar painéis OIC. F18: planilha 'contempla apenas ramos consolidados, sem a abertura detalhada por produto'.</t>
  </si>
  <si>
    <t>F01; F09; F18; F24</t>
  </si>
  <si>
    <t>mai/2026</t>
  </si>
  <si>
    <t>28/07/2026</t>
  </si>
  <si>
    <t>GV-02</t>
  </si>
  <si>
    <t>Escalação frequente a mentores, COMEX e RDS para destravar temas que a frente não consegue decidir</t>
  </si>
  <si>
    <t>Prestamista prêmio único, meios de pagamento, práticas da Corretora Digital, esgotamento de comissão, priorização de TI: tudo sobe para mentores ou diretoria. O grupo conclui que 'não cabe apenas trocar prioridades na fila interna, mas usar o espaço com os mentores'.</t>
  </si>
  <si>
    <t>Frente estratégica com mandato de execução mas sem alçada de decisão sobre política comercial, TI e produto; comitês superiores como único desbloqueio; agendas de mentores escassas.</t>
  </si>
  <si>
    <t>Nº de temas escalados por trimestre; tempo médio entre escalação e decisão; % de decisões tomadas dentro do GT; existência de alçadas documentadas por tipo de decisão.</t>
  </si>
  <si>
    <t>F22: 'O grupo concordou que não cabe apenas trocar prioridades na fila interna, mas usar o espaço com os mentores para obter direcionamento e patrocínio'. F17: 'O tema será submetido e escalado via RDS para desdobramento de cima para baixo'. F16: 'O caso emblemático das comissões e ferramentas foi levado para a diretoria'. F09: 'levar ao COMEX'.</t>
  </si>
  <si>
    <t>F09; F16; F17; F22</t>
  </si>
  <si>
    <t>05/05/2026</t>
  </si>
  <si>
    <t>GV-03</t>
  </si>
  <si>
    <t>Transparência</t>
  </si>
  <si>
    <t>Fóruns preparados para evitar questionamentos; risco de exposição da liderança se metas não mostrarem desdobramento</t>
  </si>
  <si>
    <t>Antes do fórum o grupo escolhe 'resultados positivos e entregas maduras' e evita 'abrir brechas para questionamentos de itens não pautados'. Em junho a líder teme exposição negativa em fóruns executivos caso as metas não demonstrem ações rastreáveis.</t>
  </si>
  <si>
    <t>Fórum de gestão percebido como instância de cobrança e não de resolução; lançamento genérico de iniciativas gera ruído com a diretoria; ciclo de reporte encerrado e reiniciado para 'histórico limpo'.</t>
  </si>
  <si>
    <t>Proporção de pontos de atenção levados ao fórum vs. registrados nas atas; nº de deliberações obtidas por fórum; evolução do formato do relatório; percepção de segurança psicológica na liderança.</t>
  </si>
  <si>
    <t>F05: 'decidindo focar em resultados positivos e entregas maduras'; 'evitar abrir brechas para questionamentos de itens não pautados'. F14: 'Risco de exposição negativa da liderança em fóruns executivos institucionais caso as metas apresentadas não demonstrem o desdobramento de ações práticas e rastreáveis'.</t>
  </si>
  <si>
    <t>F05; F14</t>
  </si>
  <si>
    <t>GV-04</t>
  </si>
  <si>
    <t>Apelação</t>
  </si>
  <si>
    <t>Sem via estruturada para contestar recusas de subscrição e compliance</t>
  </si>
  <si>
    <t>Caso da proposta de R$ 1 milhão recusada por divergência de renda chega ao GT como relato de exceção, não por rito de revisão. Recusas por DPS e pendências de mais de 40 dias são tratadas por reprecificação e revisão de critérios, não por mecanismo de reconsideração caso a caso.</t>
  </si>
  <si>
    <t>Decisão de aceitação como ato final; corretor sem canal formal de recurso; auditoria médica sem segunda instância; recusas vistas como custo de proteção e não como perda mensurável.</t>
  </si>
  <si>
    <t>Existência de fluxo de reconsideração com prazo; nº de recusas revertidas após recurso; tempo de resposta; satisfação do corretor com a resolução.</t>
  </si>
  <si>
    <t>F11: caso Unicred levado ao GT após recusa, 'expôs a falta de aculturamento interno... e o excesso de atrito burocrático'. F23: 'alto volume de pendências paradas há mais de 40 dias'; resposta é 'proposta de revisão dos critérios de aceitação', sem menção a instância de recurso.</t>
  </si>
  <si>
    <t>F11; F23</t>
  </si>
  <si>
    <t>GV-05</t>
  </si>
  <si>
    <t>Mandatos</t>
  </si>
  <si>
    <t>Meta de 20% sem base rastreável e divergente do orçamento da Controladoria</t>
  </si>
  <si>
    <t>Ninguém sabe ao certo o número de fechamento de 2024 que serve de base para os 20%. Relatórios mensais não trazem o consolidado. Meta estratégica (A3) e meta orçamentária diferem; a meta carrega gap do ano anterior. Mentor cita '13' como fatia acordada para 2026 (a ata não registra a unidade). Frentes cogitam pedir 'refluctuação' de metas à diretoria por julgá-las inalcançáveis.</t>
  </si>
  <si>
    <t>Meta definida no planejamento (A3) sem trilha de auditoria; dois sistemas de metas (Controladoria e frente estratégica) sem reconciliação; ambição estratégica fixada sem checagem contra capacidade ('capacidades finitas e ambições infinitas').</t>
  </si>
  <si>
    <t>Existência de um número oficial de base 2024 assinado por Controladoria e Estratégia; diferença entre meta A3 e orçamento; nº de fóruns em que o gap foi evidenciado; decisão formal sobre a refluctuação.</t>
  </si>
  <si>
    <t>F24: 'Dificuldade em rastrear a origem exata da base de cálculo para a meta de crescimento de 20%'; 'receio de apresentar dados imprecisos ao fórum'. F20: 'o percentual não foi totalmente embutido no orçamento e carrega o gap do ano anterior'. F18: 'O Aguiar estipulou que para 2026 devem trazer 13'. F12: 'algumas frentes cogitaram refluctuação de metas à diretoria por considerá-las inalcançáveis'. F03: manter meta da Controladoria 'ao invés da meta anual de 20%'. F06 (22/04): 'manutenção da meta de 20% de crescimento anual conforme acordado com mentores', em contraste com F03 (30/03), que manteve 'a meta baseada na Controladoria para 2026 ao invés da meta anual de 20%'.</t>
  </si>
  <si>
    <t>F03; F06; F12; F18; F20; F24</t>
  </si>
  <si>
    <t>GV-06</t>
  </si>
  <si>
    <t>Priorização difusa: 'focar em tudo resulta em não entregar nada'; comitê de priorização ainda como MVP</t>
  </si>
  <si>
    <t>Discussões repetitivas sem caminho prático; diagnóstico com centenas de itens; comitê de priorização SUSEP nasce como MVP em junho e o preenchimento da planilha atrasa tanto que Processos decide começar por Saúde. Em agosto surge proposta de fórum unificado SUSEP.</t>
  </si>
  <si>
    <t>Muitas esteiras executoras (TI, Processos, PMO, Inovação) sem visão integrada do que está em curso; frente estratégica sem poder de priorizar a fila dos executores; ausência de critérios de impacto vs. esforço até junho.</t>
  </si>
  <si>
    <t>Existência e periodicidade do comitê de priorização; nº de itens no backlog com critério de impacto; % de demandas SUSEP priorizadas vs. Saúde; tempo entre demanda e decisão de prioridade.</t>
  </si>
  <si>
    <t>F11: 'O grupo concorda que focar em tudo resulta em não entregar nada'; 'sair do ciclo de discussões repetitivas'. F13: 'Pretende-se descobrir o que é discutido mas ninguém está olhando'; 'evitando que o grupo se perca em listas com centenas de itens'. F16: 'iniciar prioritariamente pelo segmento de Saúde, que já se encontra mais estruturado junto à TI'. F20: fórum unificado SUSEP. F15: Daniele 'reforçou o pedido de que todos os participantes preencham a planilha com as informações de suas respectivas áreas'.</t>
  </si>
  <si>
    <t>F11; F13; F15; F16; F20</t>
  </si>
  <si>
    <t>GV-07</t>
  </si>
  <si>
    <t>Autoridade</t>
  </si>
  <si>
    <t>Decisão sobre esgotamento (antecipação) de comissão travada desde 2024 por receios financeiros</t>
  </si>
  <si>
    <t>Mercado paga comissão por esgotamento; a SUSEP paga parcelado, o que grandes corretores leem como amadorismo e é apontado pelo mentor como maior obstáculo ao crescimento em RE. Proposta é retomada em maio de 2026 e só em agosto o mentor desmistifica o conceito e autoriza estudo de mercado.</t>
  </si>
  <si>
    <t>Ausência de alçada clara para decisões de política comercial com impacto financeiro; decisão depende de patrocínio de diretoria; receio de escopo e caixa sem estudo formal; canal corretor (65% da operação) sem voz estruturada.</t>
  </si>
  <si>
    <t>Data da decisão vs. primeira proposta (2024); existência de estudo de mercado e de business case; % de prêmio de RE em corretores que exigem esgotamento; perda de negócios atribuída ao modelo de comissão.</t>
  </si>
  <si>
    <t>F23: 'a ausência do pagamento de comissão por esgotamento no RE é vista por grandes corretores como amadorismo e se consolida como o maior obstáculo para o crescimento'; 'discussões de 2024 travadas por receios financeiros e de escopo'. F22: 'o mercado opera com o modelo de esgotamento... enquanto a SUSEP realiza pagamentos parcelados, gerando insatisfação em assessorias'. F09: proposta de 'Esgotamento de Comissão' para o COMEX. F20: 'priorizar pendências operacionais básicas e consolidadas no mercado, como o esgotamento de comissão (presente nas linhas 79 e 80 da planilha de necessidades), essencial para a retenção de corretores'.</t>
  </si>
  <si>
    <t>F09; F20; F22; F23</t>
  </si>
  <si>
    <t>RE (canal Corretor)</t>
  </si>
  <si>
    <t>GV-08</t>
  </si>
  <si>
    <t>Consentimento</t>
  </si>
  <si>
    <t>Marketing e Corretora Digital tomam decisões comerciais sem consentimento técnico da frente</t>
  </si>
  <si>
    <t>Marketing negocia produtos e descontos com o SPFC e pede condições à corretora digital sem alinhamento estratégico. Corretora Digital aplica 30% de comissão em renovações de colaboradores que deveriam ser taxa net e cota concorrentes de forma indevida.</t>
  </si>
  <si>
    <t>Canais e parceiros com autonomia comercial sem regras de consentimento das áreas técnicas; fluxo de proposta, DPS, desconto e pós-venda indefinido para vendas via patrocínio; contrapartidas do contrato desconhecidas pelas áreas.</t>
  </si>
  <si>
    <t>Nº de ofertas lançadas por canal sem validação técnica; margem e sinistralidade das vendas via loja digital; auditoria de comissões aplicadas pela corretora digital; existência de fluxo formal de aprovação de ofertas.</t>
  </si>
  <si>
    <t>F13: 'o Marketing cobrou o envio para a corretora digital por condições comerciais e descontos sem um alinhamento prévio estratégico'. F16: 'práticas da Corretora Digital, que tem cotado o mercado... além de aplicar 30% de comissão nas renovações colaboradores, as quais deveriam ser operadas como taxa net'. F15: 'Ausência de definição de fluxos de propostas, produtos, aplicação de descontos, DPS e fluxo de pós-venda'.</t>
  </si>
  <si>
    <t>F13; F15; F16</t>
  </si>
  <si>
    <t>08/06/2026</t>
  </si>
  <si>
    <t>Vida e RE (Marketing, Corretora Digital)</t>
  </si>
  <si>
    <t>GV-09</t>
  </si>
  <si>
    <t>Revisão</t>
  </si>
  <si>
    <t>Ferramenta de gestão trocada duas vezes em seis meses (Jira para Stratws em jan/26, Stratws para Jira em jun/26), zerando histórico</t>
  </si>
  <si>
    <t>Jira substituído por Stratws em jan/26; em jun/26 a companhia decide voltar ao Jira, com migração gradativa. Ciclo 'Pós-PI' encerrado administrativamente com percentuais de maio congelados para iniciar 'histórico limpo'. Percentuais de conclusão confundem 'fase de entrega' com 'resultado de vendas'.</t>
  </si>
  <si>
    <t>Decisão corporativa sobre ferramenta descolada do uso pelas frentes; sistema de acompanhamento organizado por iniciativa e não por ramo/canal; revisão de metas por encerramento em vez de reconciliação.</t>
  </si>
  <si>
    <t>Nº de migrações de ferramenta por ano; horas gastas em de/para; continuidade de séries históricas de indicadores; critério padronizado de % de conclusão.</t>
  </si>
  <si>
    <t>F01 (slide 11): 'Substituição do sistema Jira pela Stratws'. F15: 'a companhia adotará o Jira como ferramenta oficial de acompanhamento, substituindo o Stratws'. F14: 'findar administrativamente os indicadores antigos com os marcos atingidos até o encerramento do ciclo de maio'. F03: 'clareza em fase de entrega vs. resultado de vendas'. F17: 'O extrato de acompanhamento atual (Estratos) será encerrado para a abertura de um novo modelo'.</t>
  </si>
  <si>
    <t>F01; F03; F14; F15; F17</t>
  </si>
  <si>
    <t>GV-10</t>
  </si>
  <si>
    <t>Ritos de revisão com mentores comprimidos, adiados ou ausentes</t>
  </si>
  <si>
    <t>Agenda de 30 minutos concedida para defender o Hub de Cooperativas é considerada inviável e cancelada. Fórum de julho não ocorre. Fórum de junho oscila entre 22/06, 29/06 e 06/07 por causa de jogos do Brasil. Mentores de férias em julho e agosto (Lara até 31/08).</t>
  </si>
  <si>
    <t>Mentores são superintendentes com agenda disputada; ritos dependem de secretárias e governança; fóruns mensais com horário reduzido; ausência de suplência formal de mentor.</t>
  </si>
  <si>
    <t>Nº de fóruns realizados vs. previstos; duração média das agendas de mentoria; tempo de espera para apresentar um tema; % de mentores presentes por fórum.</t>
  </si>
  <si>
    <t>F13: 'agenda do dia 24/06 concedida pelos mentores é inviável, pois possui apenas 30 minutos para um tema denso'. F24: 'foi discutida a ausência do fórum em julho'. F14: 'Possível alteração/antecipação da data do Fórum... devido aos jogos da seleção brasileira'. F17: fórum 'terá horário reduzido'. F20: 'Lara estará de férias até 31/08'. F18: 'mentores (que estarão de férias em julho)'; 'alinhar com as secretárias um slot de 30 minutos em agosto'. F23: reunião com mentores de 14:00 às 14:36; 'Ausentes com justificativa: Lara em férias; Christian Landi em agenda presencial'.</t>
  </si>
  <si>
    <t>F13; F14; F17; F18; F20; F23; F24</t>
  </si>
  <si>
    <t>CO-01</t>
  </si>
  <si>
    <t>Gargalos</t>
  </si>
  <si>
    <t>Fila de TI saturada: projetos trocados por emergências operacionais e demandas despriorizadas</t>
  </si>
  <si>
    <t>Capacidade de desenvolvimento saturada; AP Escolar despriorizado para 18 melhorias do Vida Coletivo; POC de APIs só em julho; braço técnico limitado para IAs específicas da SUSEP; renovações e cross-sell aguardam.</t>
  </si>
  <si>
    <t>TI única atendendo três negócios com prioridade histórica para Saúde; ausência de capacidade reservada para SUSEP; emergências operacionais sem gestão de fila separada da fila de projetos.</t>
  </si>
  <si>
    <t>Lead time médio de demandas SUSEP; nº de trocas de prioridade por trimestre; % da capacidade da TI alocada à SUSEP vs. participação no faturamento; idade das demandas mais antigas.</t>
  </si>
  <si>
    <t>F22: 'saturação da capacidade de desenvolvimento da TI, onde projetos são frequentemente trocados por emergências operacionais'; 'despriorização de demandas operacionais'. F10: 'Limitação de braço técnico na TI para desenvolvimento de IAs específicas da SUSEP em relação ao Saúde'. F04: paralisar AP Escolar para priorizar 18 melhorias. F09: 'soluções paliativas (links no pós-venda) enquanto a estrutura sistêmica perfeita não é priorizada'; varredura recorrente de melhorias nos cotadores a cargo da TI.</t>
  </si>
  <si>
    <t>F04; F09; F10; F22</t>
  </si>
  <si>
    <t>CO-02</t>
  </si>
  <si>
    <t>Esteira de aceitação do Vida lenta: excesso de documentos e pendências paradas há mais de 40 dias</t>
  </si>
  <si>
    <t>Solicitações de documentos complementares em excesso provocam perda de propostas e migração de corretores para a Porto Seguro. Pendências por falta de retorno de exames ficam paradas além de 40 dias. Padronização documental com o ressegurador só é adotada no projeto Unicred.</t>
  </si>
  <si>
    <t>Fluxo de aceitação com três atores (subscrição, medicina, compliance) sem SLA integrado; exigências documentais acima do padrão do ressegurador; ausência de follow-up ativo de pendências.</t>
  </si>
  <si>
    <t>Tempo médio de aceitação; % de propostas com pedido de documento complementar; nº e idade das pendências; taxa de desistência após pedido de exame; comparação com SLA de concorrentes.</t>
  </si>
  <si>
    <t>F23: 'excesso de solicitações de documentos complementares, provocando a perda de propostas e a migração de corretores para concorrentes (ex.: Porto Seguro); alto volume de pendências paradas há mais de 40 dias'. F23: '22% das pendências/recusas referem-se à aceitação médica e à falta de devolução de documentos'. F10: 'como o mercado aceita patologias (ex: hipertensão controlada) que a companhia atualmente recusa ou envia para exames'. F18: 'travas sistêmicas (ex: exclusão de diabéticos ou exigência excessiva de exames)'.</t>
  </si>
  <si>
    <t>F10; F18; F23</t>
  </si>
  <si>
    <t>11/05/2026</t>
  </si>
  <si>
    <t>CO-03</t>
  </si>
  <si>
    <t>Ciclo de desenvolvimento longo: produto novo leva ~2 anos; prestamista automatizado, ~3 anos</t>
  </si>
  <si>
    <t>Prestamista prêmio único é discutido internamente desde 2024; Unicred exige para jan/2027 com aceitação automática, prazo 'altamente crítico'. Prestamista é o produto mais analógico da companhia. Entregas sistêmicas de pagamento ficam para 2027.</t>
  </si>
  <si>
    <t>Esteira de produto passa por Produtos, Atuarial, TI, Contabilidade e Jurídico em série; sistemas legados; capacidade de TI disputada; histórico de lentidão reconhecido.</t>
  </si>
  <si>
    <t>Lead time de produto (ideia a produção); nº de produtos com prazo de mercado perdido; status do prestamista prêmio único vs. jan/2027; % de etapas em paralelo.</t>
  </si>
  <si>
    <t>F12: 'o desenvolvimento de novos produtos costuma demorar cerca de dois anos internamente'. F11: prestamista 'é o produto mais analógico da companhia e demoraria cerca de 3 anos para ser automatizado'. F17: 'essa demanda de prestamista prêmio único é discutida internamente desde 2024 e o prazo para janeiro de 2027 é altamente crítico'. F09: 'as entregas sistêmicas de pagamento ficarão para 2027, não impactando o ano de 2026'.</t>
  </si>
  <si>
    <t>F09; F11; F12; F17</t>
  </si>
  <si>
    <t>Vida (Prestamista)</t>
  </si>
  <si>
    <t>CO-04</t>
  </si>
  <si>
    <t>Handoffs</t>
  </si>
  <si>
    <t>Materiais para fóruns chegam de última hora à líder</t>
  </si>
  <si>
    <t>Membros enviam insumos para apresentações nos fóruns sem antecedência, obrigando a líder a montar o material em cima da hora. Em junho a líder e a facilitadora fazem 'força-tarefa' para isolar dados de Vida e RE.</t>
  </si>
  <si>
    <t>Sem calendário de insumos anterior ao fórum; consolidação manual por uma pessoa; dependência de planilhas coletivas com baixa adesão.</t>
  </si>
  <si>
    <t>Prazo médio de envio de insumos antes do fórum; nº de fóruns com material finalizado na véspera; existência de template e calendário de consolidação.</t>
  </si>
  <si>
    <t>F03: 'Necessidade de maior antecipação no envio de materiais para apresentações nos Foruns (evitar envios de última hora para a líder Jacqueline)'. F13: 'Jacqueline e Fabíola farão uma força-tarefa em conjunto nesta semana para isolar os dados de Vida e RE no relatório'. F17: apresentação do fórum construída em reunião de véspera ('terça-feira às 14h') com pré-fórum na quarta.</t>
  </si>
  <si>
    <t>F03; F13; F17</t>
  </si>
  <si>
    <t>CO-05</t>
  </si>
  <si>
    <t>Pós-venda e aceitação indefinidos para vendas via patrocínio e loja digital (quem atende PF)</t>
  </si>
  <si>
    <t>Vendas de Odonto, Vida e Residencial para sócios-torcedores via corretora digital avançam sem definição de fluxo de proposta, DPS, desconto e pós-venda. Suporte a pessoa física não compete ao Relacionamento Corporativo.</t>
  </si>
  <si>
    <t>Novo canal criado por Marketing sem desenho de jornada ponta a ponta; estrutura de atendimento organizada por cliente corporativo; lacuna de dono do pós-venda PF.</t>
  </si>
  <si>
    <t>Existência de fluxo documentado por produto no canal digital; SLA de atendimento PF; nº de reclamações originadas do canal; taxa de aceitação e sinistralidade das vendas.</t>
  </si>
  <si>
    <t>F15: 'Ausência de definição de fluxos de propostas, produtos (combos, Vida, Odonto), aplicação de descontos, DPS e fluxo de pós-venda (visto que suporte PF não compete ao Relacionamento Corporativo)'; 'suposta lacuna operacional que pode impactar o fluxo técnico de aceitação'. F16: 'necessidade de desenho de jornada para o sócio torcedor'.</t>
  </si>
  <si>
    <t>F15; F16</t>
  </si>
  <si>
    <t>15/06/2026</t>
  </si>
  <si>
    <t>Vida e RE (canal digital)</t>
  </si>
  <si>
    <t>CO-06</t>
  </si>
  <si>
    <t>Redundância</t>
  </si>
  <si>
    <t>Contratações de birôs de dados duplicadas entre áreas; radares de mercado paralelos (declarados complementares)</t>
  </si>
  <si>
    <t>Birôs de dados contratados em duplicidade por diferentes áreas. Radar Estratégico criado no Claude pela Estratégia coexiste com o radar SUSEP da Inteligência de Mercado; a ata os declara complementares e 'em parceria', mas são duas frentes sobre o mesmo tema. Planilhas apartadas de necessidades enviadas fora da planilha geral.</t>
  </si>
  <si>
    <t>Áreas com orçamento e iniciativa próprios sem catálogo comum de fontes e ferramentas; inteligência de mercado sem função centralizadora reconhecida; baixa visibilidade do que cada área já contratou.</t>
  </si>
  <si>
    <t>Nº de contratos de dados sobrepostos; custo consolidado de birôs por área; nº de radares/painéis paralelos sobre o mesmo tema; existência de catálogo de fontes.</t>
  </si>
  <si>
    <t>F10: 'importância de unificar as contratações de birôs de dados para evitar duplicidade de custos entre Saúde, Vida e Atuarial'. F15: Radar Estratégico 'não anula o radar Susep da área de Inteligência de Mercado'. F15: 'Como Tatiane havia enviado uma planilha apartada, foi solicitado que ela inclua na planilha geral'.</t>
  </si>
  <si>
    <t>F10; F15</t>
  </si>
  <si>
    <t>CO-07</t>
  </si>
  <si>
    <t>Retrabalho em faturamento: remissão excessiva de faturas e descalibragem no fechamento</t>
  </si>
  <si>
    <t>Operação de faturamento e intercâmbio com as Unimeds gera remissões repetidas de faturas e fechamentos descalibrados; troca de bases por API é apontada como saída.</t>
  </si>
  <si>
    <t>Processo de cobrança com múltiplos meios (boleto caro vs. Pix) e sem integração de dados com as Unimeds; faturamento gerencial manual; sistemas legados.</t>
  </si>
  <si>
    <t>Nº de faturas reemitidas por mês; custo por fatura; % de fechamentos com ajuste; adoção de API para troca de base.</t>
  </si>
  <si>
    <t>F02: 'Descalibragem em fechamento de faturas; Remissão excessiva de faturas (retrabalho); Uso de APIs para troca de base de dados'.</t>
  </si>
  <si>
    <t>F02</t>
  </si>
  <si>
    <t>Vida e Saúde (operação)</t>
  </si>
  <si>
    <t>CO-08</t>
  </si>
  <si>
    <t>Comitês paralelos (Frente, S&amp;OP, Diagnóstico Comercial, RDS) com visões fragmentadas das mesmas dores</t>
  </si>
  <si>
    <t>Dores da SUSEP pulverizadas entre a Frente Estratégica, o S&amp;OP e o Diagnóstico Comercial. Interface S&amp;OP x RDS gera dúvidas sobre desdobramento de métricas. Grupo propõe alinhamento tripartite recorrente (Canais, Produtos, Operações) e, em agosto, fórum unificado.</t>
  </si>
  <si>
    <t>Governança por comitês temáticos sem instância integradora; métricas de Vida (volume financeiro) diferentes das de Saúde (vidas), dificultando o discurso comum; cada comitê com seu próprio backlog.</t>
  </si>
  <si>
    <t>Nº de fóruns que tratam o mesmo tema; existência de fórum integrador com backlog único; tempo de decisão de temas transversais; retrabalho de apresentação do mesmo assunto.</t>
  </si>
  <si>
    <t>F20: 'criar um fórum unificado para tratar todas as dores do SUSEP (atualmente pulverizadas entre Frente Estratégica, S&amp;OP e Diagnóstico Comercial)'. F17: 'unificar visões fragmentadas que ocorrem em comitês paralelos'. F11: 'dúvidas sobre como desdobrar as informações do S&amp;OP para as reuniões de RDS'.</t>
  </si>
  <si>
    <t>F11; F17; F20</t>
  </si>
  <si>
    <t>CO-09</t>
  </si>
  <si>
    <t>Front-end e motores de cálculo desenvolvidos fora de sincronia; atuarial atende 'pedidos avulsos'</t>
  </si>
  <si>
    <t>Motores prontos ficam ociosos sem front-end; produtos em endosso e renovação seguem analógicos. Atuarial precisa de planejamento para não responder apenas a pedidos pontuais. 'Reunião de triângulo' (Estratégia, Atuarial, Produtos) criada para priorizar os itens vermelhos.</t>
  </si>
  <si>
    <t>Três áreas (Atuarial, Produtos, TI) com filas independentes; ausência de roadmap único produto-motor-front; demanda chega fragmentada.</t>
  </si>
  <si>
    <t>% de motores com front-end funcional; tempo entre motor pronto e disponibilização; existência de roadmap integrado; nº de pedidos avulsos ao atuarial por mês.</t>
  </si>
  <si>
    <t>F05: 'alinhar a implementação de front-ends com o desenvolvimento de motores de cálculo para evitar ociosidade'; 'necessidade de planejamento atuarial para não atender apenas pedidos avulsos'; 'a companhia não tem 100% dos motores estruturados'. F09: tarefa 'Enviar mapeamento atualizado de motores de cálculo e cotadores (o que tem vs. o que falta)'.</t>
  </si>
  <si>
    <t>F05; F09</t>
  </si>
  <si>
    <t>CO-10</t>
  </si>
  <si>
    <t>Cross-selling multicamadas sem estrutura: TI só suporta venda 'um para um' manual desde 2022</t>
  </si>
  <si>
    <t>Combinações Saúde + Vida + RE não são suportadas; falta de marcadores nos legados; faturamento gerencial manual; cobrança única entre CNPJs inexistente. Grupo adota paliativos (links no pós-venda) e sugere tratar como projeto formal.</t>
  </si>
  <si>
    <t>Negócios em CNPJs distintos com sistemas próprios; cross-sell tratado como demanda pontual e não como projeto; barreiras conhecidas desde 2022 sem dono.</t>
  </si>
  <si>
    <t>Existência de projeto formal de cross-sell com patrocinador; nº de vendas combinadas por mês; % de clientes com mais de um produto; disponibilidade de cobrança única.</t>
  </si>
  <si>
    <t>F06: 'a estrutura atual de TI suporta apenas vendas um para um (ex: Saúde + Odonto) de forma manual'; 'Sugestão de que o tema seja tratado como um Projeto e não apenas uma demanda pontual'. F09: 'Experiência de 2022 (barreiras persistem)'; 'soluções paliativas (links no pós-venda) enquanto a estrutura sistêmica perfeita não é priorizada'. F21: Produtos ANS procura a Estratégia 'para vendas em cross-sell, mas esbarrou no desconhecimento dessas áreas sobre a complexidade e a capacidade de entrega da SUSEP'.</t>
  </si>
  <si>
    <t>F06; F09; F21</t>
  </si>
  <si>
    <t>22/04/2026</t>
  </si>
  <si>
    <t>Vida, RE, Saúde, Odonto</t>
  </si>
  <si>
    <t>IN-01</t>
  </si>
  <si>
    <t>Sensemaking</t>
  </si>
  <si>
    <t>Diagnóstico com centenas de itens sem filtro de impacto; listas misturam receita, eficiência e lei</t>
  </si>
  <si>
    <t>Diagnóstico Fase 2 construído às pressas em lista unificada. Proposta de que cada área liste suas dores e de filtros rígidos separando geração de receita, eficiência operacional e exigência regulatória.</t>
  </si>
  <si>
    <t>Diagnóstico como inventário e não como priorização; ausência de critérios acordados de impacto vs. esforço; pressão de prazo do fórum.</t>
  </si>
  <si>
    <t>Nº de itens do diagnóstico com classificação de impacto; % de itens que 'mudam o ponteiro'; tempo de análise por item.</t>
  </si>
  <si>
    <t>F13: 'em vez de preencher uma lista unificada às pressas, cada área listará individualmente suas dores'; 'adicionar filtros rígidos às demandas, separando as de geração de receita daquelas voltadas à eficiência operacional ou cumprimento de exigências regulatórias, evitando que o grupo se perca em listas com centenas de itens'.</t>
  </si>
  <si>
    <t>F13</t>
  </si>
  <si>
    <t>IN-02</t>
  </si>
  <si>
    <t>Percepção da ponta e números operacionais divergem (recusas, preço)</t>
  </si>
  <si>
    <t>Comercial atribui perda de negócios ao preço; dados mostram preço competitivo e gargalo na aceitação. Gerentes comerciais percebem mais recusas do que os números mostram; reunião específica para alinhar percepção e dado.</t>
  </si>
  <si>
    <t>Ponta sem acesso ao dado consolidado; dado consolidado sem contexto da ponta; ausência de rito regular de leitura conjunta.</t>
  </si>
  <si>
    <t>Nº de reuniões de alinhamento dado x percepção; convergência das causas apontadas; uso de dado de recusa na comunicação com corretores.</t>
  </si>
  <si>
    <t>F18: 'Daniel questionou se o problema da perda de negócios residia no preço. Jaque e Tati refutaram, provando que o preço da Unimed é competitivo'. F23: 'Esclarecer os dados reais de recusas na reunião com os gerentes comerciais no dia seguinte para alinhar a percepção do time de ponta com os números operacionais'.</t>
  </si>
  <si>
    <t>F18; F23</t>
  </si>
  <si>
    <t>IN-03</t>
  </si>
  <si>
    <t>Ruído</t>
  </si>
  <si>
    <t>Comunicação de reprecificação filtrada para 'evitar ruído na ponta'; relatório genérico gera ruído na diretoria</t>
  </si>
  <si>
    <t>Comercial pede detalhes das novas tarifas; Estratégia prefere comunicação macro para evitar questionamentos. No outro extremo, o lançamento genérico de iniciativas no Estratos gera ruído interpretativo junto à diretoria executiva.</t>
  </si>
  <si>
    <t>Reprecificação constante ('régua de reposicionamento') com time comercial de maturidade variável; painel de gestão sem arquitetura de informação por ramo/canal.</t>
  </si>
  <si>
    <t>Nº de questionamentos do comercial após comunicação tarifária; clareza do relatório medida por perguntas da diretoria no fórum; existência de FAQ.</t>
  </si>
  <si>
    <t>F05: 'a estratégia prefere uma comunicação macro... para evitar questionamentos excessivos'; 'sem fornecer o detalhamento técnico exaustivo que gere ruído na ponta'. F14: 'o lançamento genérico de iniciativas gera ruído interpretativo junto à diretoria executiva'.</t>
  </si>
  <si>
    <t>IN-04</t>
  </si>
  <si>
    <t>Feedback</t>
  </si>
  <si>
    <t>'Não-ganhos' e 'número invisível' não documentados: custo das limitações sistêmicas fica oculto</t>
  </si>
  <si>
    <t>Consultoria provoca o grupo a documentar negócios e pitches perdidos por limitação de sistema ou produto. Em julho o grupo fala do 'número invisível' (cotações que nem são feitas). Em julho/agosto, corretora SAD acumula negativas de sinistro sem reclamar.</t>
  </si>
  <si>
    <t>Métricas só registram o que entra no funil; ausência de registro de oportunidade perdida; cultura de reportar entregas e não perdas.</t>
  </si>
  <si>
    <t>Existência de registro de negócios perdidos por causa; valor acumulado; nº de corretores com queda silenciosa de produção; uso do dado em priorização de TI.</t>
  </si>
  <si>
    <t>F12: 'documentar de maneira ativa os não-ganhos... para mapear o custo financeiro exato das limitações sistêmicas e de produtos'. F18: 'flexibilização da aceitação técnica para mitigar o número invisível'. F24: 'grande volume de negativas de sinistros para a corretora SAD sem que haja reclamações'.</t>
  </si>
  <si>
    <t>F12; F18; F24</t>
  </si>
  <si>
    <t>IN-05</t>
  </si>
  <si>
    <t>Evasão silenciosa de corretores: 36% cotam uma única vez e somem; pesquisa de motivos inconclusa</t>
  </si>
  <si>
    <t>Em São Paulo, 36% dos corretores cotam uma vez em 12 meses e não voltam; 59% fecham só um negócio no Global, 72% no Multi, quase metade no VI. Corretor faz seguro próprio para testar, encontra erro na tela de pagamento e abandona. Régua de retenção de inativos ampliada de 6 para 12 meses.</t>
  </si>
  <si>
    <t>Sem loop de feedback pós-primeira cotação; onboarding não estruturado; falhas de UX não capturadas por ninguém; concentração em cooperativas do Sul.</t>
  </si>
  <si>
    <t>Taxa de recorrência de corretores após a 1ª cotação; follow-up em 48h implantado; resultado da pesquisa de churn; NPS de corretor.</t>
  </si>
  <si>
    <t>F18: '36% dos corretores cotam uma única vez em 12 meses e não retornam... 59% fecham apenas um negócio no Global, 72% no Multi'; 'encontra falhas sistêmicas (ex: erros na tela de pagamento/cartão) e abandona'. F21: 'Pesquisa sobre corretores ainda não foi finalizada'. F24: pesquisa 'aguardando retornos'. F19: 'Redução da percepção de abandono do corretor'.</t>
  </si>
  <si>
    <t>F18; F19; F21; F24</t>
  </si>
  <si>
    <t>IN-06</t>
  </si>
  <si>
    <t>Métricas</t>
  </si>
  <si>
    <t>Escassez crônica de dados tratados para decidir (canal Unimed, cooperativas, produtos)</t>
  </si>
  <si>
    <t>Companhia se diz 'seguradora do sistema' mas não tem dados tratados do canal Unimed. Dados abertos sobre seguros em cooperativas são escassos. Carência de dados analíticos de produto reconhecida como bloqueio estrutural. Squad de dados de Vida só nasce em junho.</t>
  </si>
  <si>
    <t>Governança de dados em construção (comitê e política previstos para nov/25); Controladoria como único produtor de painéis oficiais; áreas de negócio sem acesso self-service; dados de parceiros protegidos por questões fiscais.</t>
  </si>
  <si>
    <t>Nº de decisões adiadas por falta de dado; existência de datamart e squad de dados operando; tempo de resposta a pedidos de dados; cobertura de indicadores por canal e produto.</t>
  </si>
  <si>
    <t>F02: 'Escassez de dados tratados para decisões estratégicas no canal Unimed'; 'carece de dados tratados para agir estrategicamente'. F11: 'carência e dificuldade de obtenção de dados e indicadores de mercado abertos/consolidados sobre cooperativas'. F12: 'carência crônica de dados analíticos detalhados de mercado e de produtos'.</t>
  </si>
  <si>
    <t>F02; F11; F12</t>
  </si>
  <si>
    <t>IN-07</t>
  </si>
  <si>
    <t>Impossível contar vidas de forma unificada na SUSEP (duplicidade de CPF por apólice)</t>
  </si>
  <si>
    <t>Restrição sistêmica básica impede rastrear e contabilizar o volume de vidas; contabilização de vidas no produto SUSEP em mapeamento. Vida é gerido por volume financeiro e não por vidas, diferente de Saúde.</t>
  </si>
  <si>
    <t>Cadastro por apólice e não por cliente; sistemas legados sem chave única; métricas de Saúde (vidas) aplicadas a Vida sem adaptação.</t>
  </si>
  <si>
    <t>Existência de chave única de cliente; % de CPFs duplicados na base; disponibilidade do indicador 'vidas SUSEP' nos fóruns.</t>
  </si>
  <si>
    <t>F12: 'incapacidade atual de rastrear e contabilizar o volume de vidas de forma unificada na Susep devido à duplicidade de CPFs por apólices'. F11: 'a esteira é gerenciada por volume financeiro, e não por quantidade de vidas, diferentemente do Saúde'.</t>
  </si>
  <si>
    <t>F11; F12</t>
  </si>
  <si>
    <t>IN-08</t>
  </si>
  <si>
    <t>Relatórios financeiros da Corretora Digital divergem dos sistemas internos</t>
  </si>
  <si>
    <t>Dados apresentados pela Corretora Digital não batem com os sistemas da companhia; consultor designado para acompanhar a esteira.</t>
  </si>
  <si>
    <t>Parceiro com sistema próprio sem conciliação automática; comissões e práticas comerciais fora do controle da seguradora.</t>
  </si>
  <si>
    <t>Nº de divergências por fechamento; existência de conciliação automática; tempo para reconciliar.</t>
  </si>
  <si>
    <t>F16: 'relatórios e dados financeiros divergentes apresentados pela Corretora Digital em relação aos sistemas internos'.</t>
  </si>
  <si>
    <t>F16</t>
  </si>
  <si>
    <t>Vida e RE (Corretora Digital)</t>
  </si>
  <si>
    <t>IN-09</t>
  </si>
  <si>
    <t>Indicadores globais de corretores distorcidos pela entrada de pequenos corretores via multicálculo</t>
  </si>
  <si>
    <t>Base de corretores ativos precisa de depuração; saneamento regulatório (inativações SUSEP) muda os números globais. Estratégia de volume total de corretores é descontinuada em favor dos 'corretores cabeça'.</t>
  </si>
  <si>
    <t>Cotadores multicálculo trazem cadastros em massa; indicador desenhado por volume e não por produtividade; dados brutos dependem de terceiro (Barbarolo).</t>
  </si>
  <si>
    <t>Nº de corretores produtivos vs. cadastrados; distribuição de produção (curva ABC); frequência de saneamento da base.</t>
  </si>
  <si>
    <t>F14: 'os números globais estão distorcidos pela entrada maciça de pequenos corretores via cotadores multifuncionais'; 'A estratégia de focar estritamente no volume total de corretores será descontinuada'. F17: time 'cruzando os dados para identificar o perfil dos corretores (exclusivos de Vida, exclusivos de RE e os que operam em mix)' a partir dos 'dados de corretores inativados e produtivos enviados por Barbarolo'.</t>
  </si>
  <si>
    <t>F14; F17</t>
  </si>
  <si>
    <t>IN-10</t>
  </si>
  <si>
    <t>Sinistro acompanhado mensalmente e fora do Stratws; orçamento de sinistro precisa de visão anual</t>
  </si>
  <si>
    <t>Indicador de sinistralidade só é incluído na ferramenta de gestão em março/abril. Sinistralidade de RE sazonal (clima) exige acompanhamento anual, não mensal. Vida Coletivo acima do mercado. Em julho, orçamento de sinistros do RE justo para o 2º semestre.</t>
  </si>
  <si>
    <t>Metas de crescimento sem indicador de resultado técnico ao lado; ferramenta de gestão focada em entrega; dados de mercado da SUSEP só via painel V4 da IM.</t>
  </si>
  <si>
    <t>Presença de sinistralidade por ramo no painel do GT; frequência de calibração de preço; comparação com mercado disponível trimestralmente.</t>
  </si>
  <si>
    <t>F03: 'importância de acompanhar o orçamento de sinistro anualmente, não apenas mensalmente'; 'o indicador de sinistro será incluído na Ferramenta Stratws'. F06: 'Vida Coletiva acima do mercado'. F24: 'orçamento de sinistros muito justo no segundo semestre para o RE'.</t>
  </si>
  <si>
    <t>F03; F06; F24</t>
  </si>
  <si>
    <t>IN-11</t>
  </si>
  <si>
    <t>Visibilidade</t>
  </si>
  <si>
    <t>Ponto de venda e agência de origem não rastreáveis; códigos de corretores inconsistentes</t>
  </si>
  <si>
    <t>Não se sabe qual agência ou ponto de venda originou o negócio nas cooperativas, o que impede estratégias de preço por região e campanhas comerciais. Códigos de corretores em correção pela TI.</t>
  </si>
  <si>
    <t>Cadastro comercial sem hierarquia de canal; integração de dados do RGS pendente; base de corretores sem saneamento.</t>
  </si>
  <si>
    <t>% de apólices com ponto de venda identificado; nº de códigos de corretor inconsistentes; existência de hierarquia canal &gt; cooperativa &gt; agência no cadastro.</t>
  </si>
  <si>
    <t>F15: 'incapacidade sistêmica atual de rastrear e mapear o ponto de venda exato (agência/ponto de venda) dentro da base corporativa'; 'inconsistência de códigos de corretores em correção pela TI'; 'impacto da falta de identificação do ponto de venda para desenhar estratégias de preço'.</t>
  </si>
  <si>
    <t>F15</t>
  </si>
  <si>
    <t>Vida e RE (canal Cooperativas)</t>
  </si>
  <si>
    <t>IN-12</t>
  </si>
  <si>
    <t>BI fora do ar há uma semana; equipe 'no escuro' com extrações manuais</t>
  </si>
  <si>
    <t>Falta de BI desde a semana anterior deixa a equipe parcialmente sem visibilidade e dependente de extrações manuais; reestruturação a cargo da TI e áreas de apoio.</t>
  </si>
  <si>
    <t>BI sem redundância ou SLA; dependência de TI para restabelecer; 96 painéis técnicos só compartilhados com a Estratégia em mar/26.</t>
  </si>
  <si>
    <t>Disponibilidade do BI (uptime); nº de dias sem painel; horas de extração manual; existência de SLA.</t>
  </si>
  <si>
    <t>F18: 'TI e áreas de apoio reestruturarem o BI (atualmente fora do ar)'; 'A falta de BI desde a semana anterior deixa a equipe parcialmente no escuro, dependendo de extrações manuais'. F01 (slide 11): liberação de 'cerca de 96 painéis... para a equipe de Estratégia' apenas em mar/26.</t>
  </si>
  <si>
    <t>F01; F18</t>
  </si>
  <si>
    <t>IN-13</t>
  </si>
  <si>
    <t>Dados de sinistralidade do RGS não integrados à Inteligência de Mercado; dados zerados levados ao fórum</t>
  </si>
  <si>
    <t>Landi leva dados de sinistralidade zerados ao fórum para forçar solução. Enquanto a automação não ocorre, a atuária fornece dados consolidados manualmente por mês.</t>
  </si>
  <si>
    <t>Sistema de sinistro (RGS) sem integração com IM; book de cooperativas dependente de extração manual; ausência de dono da integração até o fórum.</t>
  </si>
  <si>
    <t>Existência de integração automática RGS &gt; IM; % de books com sinistralidade preenchida; horas manuais da atuária por mês.</t>
  </si>
  <si>
    <t>F15: 'Falta de integração automática imediata dos dados de sinistralidade do RGS para o consumo da Inteligência de Mercado'; 'levou os dados de sinistralidade zerados ao fórum para buscar uma solução'; 'Glace se ofereceu para fornecer os dados consolidados mensalmente de forma parametrizada'.</t>
  </si>
  <si>
    <t>IN-14</t>
  </si>
  <si>
    <t>Sinais</t>
  </si>
  <si>
    <t>Concorrência agressiva percebida tarde; radar de mercado ainda em construção</t>
  </si>
  <si>
    <t>Porto, Icatu, MAG, Azos (350% de agenciamento), Mapfre 'compram' balcões e assediam cooperativas 'a cada 30 segundos'. Radar Estratégico no Claude lançado só em junho; Radar Vida e RE da IM ainda em preparação em abril. Dados de sinistralidade comparativa (V4) refinados só após o trimestre.</t>
  </si>
  <si>
    <t>Inteligência de mercado sem cobertura sistemática de SUSEP; fontes técnicas (Roncarati, CQCS) não integradas; sinais chegam pela ponta comercial.</t>
  </si>
  <si>
    <t>Tempo entre movimento do concorrente e registro no radar; periodicidade do radar; nº de decisões que citam o radar; cobertura de concorrentes monitorados.</t>
  </si>
  <si>
    <t>F04: 'concorrência agressiva (Porto, Mapfre) no RCP Individual'; 'agressividade da concorrência que compra balcões'. F09: 'concorrência que assedia as cooperativas a cada 30 segundos'. F16: 'campanha da Azos com 350% de agenciamento'. F15: 'Lançamento da primeira versão do Radar Estratégico'. F05: Radar da IM 'previsão até 10/04'.</t>
  </si>
  <si>
    <t>F04; F05; F09; F15; F16</t>
  </si>
  <si>
    <t>IN-15</t>
  </si>
  <si>
    <t>Documentação</t>
  </si>
  <si>
    <t>Sem matriz de coberturas por produto: ponta não sabe o que cada produto cobre</t>
  </si>
  <si>
    <t>Dificuldade de saber quais coberturas existem em quais produtos (Multiproteção vs. Global) gera retrabalho e dúvidas na montagem de combos. Proposta de 'fotografia' em Excel para a estratégia e FAQ para o comercial.</t>
  </si>
  <si>
    <t>Portfólio evoluído por camadas sem documentação consolidada; conhecimento tácito em Produtos; reprecificações frequentes.</t>
  </si>
  <si>
    <t>Existência e atualização da matriz de coberturas; nº de dúvidas ao Produtos por semana; tempo para montar um combo.</t>
  </si>
  <si>
    <t>F05: 'dificuldade de saber quais coberturas estão disponíveis em quais produtos (ex: Multiproteção vs. Global), o que gera retrabalho e dúvidas'.</t>
  </si>
  <si>
    <t>F05</t>
  </si>
  <si>
    <t>IN-16</t>
  </si>
  <si>
    <t>Memória do grupo depende de atas; política de não gravação das reuniões ordinárias</t>
  </si>
  <si>
    <t>Gravação é oferecida como alternativa para ausentes em abril; em junho formaliza-se a não gravação das agendas ordinárias para estimular participação espontânea, elegendo a ata eletrônica como repositório legal. As atas trazem marcas de geração automática (nota 'data atualizada com base no contexto do sistema' em F14; pergunta de assistente ao final de F22; uma ata duplicada, F07/F08; um bloco repetido em F24), o que é leitura deste diagnóstico, não afirmação das fontes.</t>
  </si>
  <si>
    <t>Trade-off entre segurança psicológica e rastreabilidade; ausência de repositório estruturado além das atas; quórum flutuante torna a ata o único elo.</t>
  </si>
  <si>
    <t>Existência de repositório único de decisões; % de decisões com dono e prazo na ata; nº de atas duplicadas ou inconsistentes; leitura das atas pelos ausentes.</t>
  </si>
  <si>
    <t>F06: 'A gravação das reuniões continua sendo uma alternativa para quem não pode comparecer'. F14: 'Fica formalizada a política de não gravação das agendas internas ordinárias... elegendo esta ata eletrônica como repositório legal de memória do time'.</t>
  </si>
  <si>
    <t>F06; F14</t>
  </si>
  <si>
    <t>RE-01</t>
  </si>
  <si>
    <t>Acesso</t>
  </si>
  <si>
    <t>Acesso tardio e limitado a dados: 96 painéis técnicos liberados só em mar/26; dados de mercado de cooperativas indisponíveis</t>
  </si>
  <si>
    <t>Painéis da área Técnica compartilhados com a Estratégia apenas em março de 2026. Dados públicos sobre seguros em cooperativas escassos por questões fiscais das instituições. Grupo busca caminhos alternativos para embasar teses aos mentores.</t>
  </si>
  <si>
    <t>Dados tratados como ativo da área produtora; ausência de política de acesso; dependência de fontes externas pagas (birôs, Labseg).</t>
  </si>
  <si>
    <t>Nº de painéis acessíveis por área; tempo médio para obter acesso; % de teses apresentadas com dado de mercado.</t>
  </si>
  <si>
    <t>F01 (slide 11): 'Liberação e compartilhamento de cerca de 96 painéis de controle... para a equipe de Estratégia' em março/2026. F11: 'Há escassez de dados públicos sobre seguros em cooperativas (por questões fiscais das próprias instituições)'.</t>
  </si>
  <si>
    <t>F01; F11</t>
  </si>
  <si>
    <t>RE-02</t>
  </si>
  <si>
    <t>Folga</t>
  </si>
  <si>
    <t>Produção concentrada em poucos corretores e em cooperativas do Sul; sem folga de canal</t>
  </si>
  <si>
    <t>Necessidade de reduzir a dependência de poucos corretores produtores; alta concentração regional; perda de mega brokers para Porto e Icatu; perda de apólices grandes em licitações.</t>
  </si>
  <si>
    <t>Canal corretor = 65% da operação; segmentação de corretores (Ouro, Diamante) ainda em desenho; modelo de comissão pouco atrativo para grandes brokers.</t>
  </si>
  <si>
    <t>Índice de concentração (top 10 corretores / total); nº de mega brokers ativos; distribuição regional da produção; churn de grandes contas.</t>
  </si>
  <si>
    <t>F07: 'necessidade de reduzir a dependência de poucos corretores produtores'. F09: 'perda de Mega Brokers para concorrentes (Porto, Icatu)'. F18: 'alta concentração regional... concentração da produção em cooperativas do Sul'. F22: 'as baixas decorrem da perda de apólices de grande porte em licitações'.</t>
  </si>
  <si>
    <t>F07; F09; F18; F22</t>
  </si>
  <si>
    <t>RE-03</t>
  </si>
  <si>
    <t>Corretor pequeno e médio sem onboarding estruturado; percepção de abandono; espaço do ER em andar administrativo</t>
  </si>
  <si>
    <t>Corretores valorizam geração de oportunidades, treinamento e resolução de problemas mais do que espaço físico. Coworking patrocinado na Unicred fracassou e virou canal de reclamação. Onboarding nacional e digital ainda a estruturar.</t>
  </si>
  <si>
    <t>Relacionamento com corretor sem programa formal; estrutura física pensada como benefício e não como serviço; grandes brokers evitam vincular imagem à seguradora.</t>
  </si>
  <si>
    <t>Existência de programa nacional de onboarding; tempo até a 1ª venda do corretor novo; taxa de ativação em 90 dias; uso do espaço do ER.</t>
  </si>
  <si>
    <t>F19: 'Redução da percepção de abandono do corretor'; 'Necessidade de onboarding e acolhimento estruturado/padronizado'; 'Espaço do ER de São Paulo (está em andar administrativo, o que diminui o apelo comercial)'; 'Coworking... teve baixo uso e virou canal de reclamações'. F21: Squad de Corretores trata 'WhatsApp corretor, segmentação, espaço físico e régua de retenção de 6 para 12 meses (para inativos)'.</t>
  </si>
  <si>
    <t>F19; F21</t>
  </si>
  <si>
    <t>20/07/2026</t>
  </si>
  <si>
    <t>RE-04</t>
  </si>
  <si>
    <t>Tempo</t>
  </si>
  <si>
    <t>Conflitos de agenda crônicos: falta de quórum, fóruns adiados, temas espremidos</t>
  </si>
  <si>
    <t>COMEX, cursos (Dom Cabral, VMO, formação de líderes às terças e quintas à tarde), férias escalonadas (Landi jul; Glace e Daniel ago; Alessandra set), feriados, jogos da seleção, eventos setoriais (Suemg, Rio, Concred) e abertura de orçamento colidem com as agendas do GT.</t>
  </si>
  <si>
    <t>Membros do GT em funções de liderança com agenda institucional pesada; sextas em home office; ritos do GT sem prioridade formal sobre outras agendas; mentores com agenda mais escassa ainda.</t>
  </si>
  <si>
    <t>% de reuniões com quórum mínimo; nº de reuniões remarcadas por trimestre; horas semanais protegidas para a frente; sobreposição de agendas mapeada.</t>
  </si>
  <si>
    <t>F06: 'Falta de quórum devido a férias e agendas concorrentes (COMEX)'. F10: 'Sobrecarga de agendas (conflitos às segundas-feiras)'. F11: 'terças e quintas à tarde são dedicadas ao curso de formação dos líderes (até julho)'. F13: escala de férias. F20: 'sobreposição de horários com as agendas da Lume e de abertura do orçamento'. F22: 'sobreposição de horários com treinamento interno'. F02: 'Conflitos de agenda devido a treinamentos (Dom Cabral/VMO) e feriados'. F14: fórum 'de 29 de junho para 22 de junho ou postergação para 6 de julho' por jogos da seleção. F18: Suemg (5 a 8/08), Evento de Corretores no Rio (27 a 29/08), evento da Tábata (24 e 25/09) e mentores de férias em julho.</t>
  </si>
  <si>
    <t>F02; F06; F10; F11; F13; F14; F18; F20; F22</t>
  </si>
  <si>
    <t>RE-05</t>
  </si>
  <si>
    <t>Reunião semanal insuficiente para profundidade técnica; rito 80/20 de status sufoca o debate</t>
  </si>
  <si>
    <t>Reuniões estendidas de 1h para 1h30 em maio; após a reunião com a consultoria, o grupo decide reestruturar a rotina de status para abrir espaço aos 5 pilares estratégicos; agenda presencial de 2h com a Linea solicitada.</t>
  </si>
  <si>
    <t>Um único rito para status, deliberação e construção; ausência de grupos paralelos de trabalho; dependência de agendas extraordinárias.</t>
  </si>
  <si>
    <t>Minutos da reunião em status vs. deliberação; nº de temas que exigiram agenda extra; existência de grupos de trabalho entre reuniões.</t>
  </si>
  <si>
    <t>F10: 'Fabíola estendeu o horário das próximas reuniões para 1h30 de duração para garantir a profundidade das discussões técnicas'. F12: 'reestruturar a agenda rotineira de acompanhamento de status (80/20) para abrir espaço para o debate'. F03: 'Necessidade de grupos paralelos para debate'.</t>
  </si>
  <si>
    <t>F03; F10; F12</t>
  </si>
  <si>
    <t>RE-06</t>
  </si>
  <si>
    <t>Orçamento</t>
  </si>
  <si>
    <t>Orçamento de sinistros do RE apertado no 2º semestre: fim do estoque de reservas e clima</t>
  </si>
  <si>
    <t>Estoque de reservas de RC Profissional que compensava o resultado acabou; vendavais no interior de SP pressionam sinistralidade; proposta de ajustes regionais de preço e restrição por CEP.</t>
  </si>
  <si>
    <t>Meta de crescimento de ~40% em RE com orçamento de sinistro dimensionado sem folga; exposição climática (El Niño) monitorada de forma informal.</t>
  </si>
  <si>
    <t>Sinistralidade realizada vs. orçada por mês; % do orçamento de sinistro consumido; exposição por CEP; frequência de calibração de preço.</t>
  </si>
  <si>
    <t>F24: 'orçamento de sinistros muito justo no segundo semestre para o RE devido ao fim do estoque de reservas e aumento de sinistros climáticos (vendavais)'; 'O estoque de reservas de RC Profissional que compensava o resultado acabou'. F15: risco El Niño 'continuará sob monitoramento recorrente e informal'.</t>
  </si>
  <si>
    <t>F15; F24</t>
  </si>
  <si>
    <t>RE</t>
  </si>
  <si>
    <t>RE-07</t>
  </si>
  <si>
    <t>Investimento de R$ 45 milhões em patrocínio sem plano de retorno comercial</t>
  </si>
  <si>
    <t>R$ 15 milhões por ano até 2028 com o SPFC; áreas descobrem as contrapartidas tardiamente; grupo pede benchmark (Ezze/Corinthians) e propõe encapsular produtos existentes para 22 milhões de torcedores.</t>
  </si>
  <si>
    <t>Decisão de marca tomada sem business case comercial; áreas de negócio sem assento na negociação; sem métrica de conversão prevista.</t>
  </si>
  <si>
    <t>Existência de meta de receita do patrocínio; receita realizada por ativação; custo por cliente adquirido; % das contrapartidas utilizadas.</t>
  </si>
  <si>
    <t>F12: 'acompanhamento do retorno sobre os grandes investimentos de marca (ex: patrocínio de R$ 45 milhões do São Paulo Futebol Clube)'; 'falta de um plano de negócios integrado'. F13: 'Falta de clareza prévia sobre as contrapartidas e condições comerciais liberadas no contrato'.</t>
  </si>
  <si>
    <t>F12; F13</t>
  </si>
  <si>
    <t>RE-08</t>
  </si>
  <si>
    <t>Capacidades</t>
  </si>
  <si>
    <t>Braço técnico de TI insuficiente e sem equipe dedicada à SUSEP (IA, APIs, cotadores)</t>
  </si>
  <si>
    <t>Limitação para desenvolver IAs específicas da SUSEP em relação ao Saúde; POC de APIs só em julho com 2 meses de duração; ausência de equipes dedicadas a inovação/TI; investimento em TI voltado à fundação estrutural.</t>
  </si>
  <si>
    <t>Capacidade de TI dimensionada para Saúde; SUSEP sem headcount de tecnologia próprio; squads exclusivas propostas (incubadoras) mas não instaladas.</t>
  </si>
  <si>
    <t>Nº de desenvolvedores alocados à SUSEP; % de demandas SUSEP entregues no prazo; existência de squad dedicada operando.</t>
  </si>
  <si>
    <t>F10: 'Limitação de braço técnico na TI para desenvolvimento de IAs específicas da SUSEP em relação ao Saúde'. F22: 'Ausência de equipes dedicadas exclusivamente a projetos de inovação/TI'. F11: 'criação de Squads exclusivas/incubadoras para apartar o desenvolvimento da esteira de produção'. F16: 'planejamento de uma POC para ferramentas de mercado voltadas à segurança e rapidez de APIs (com previsão de início em julho)', duração estimada de 2 meses.</t>
  </si>
  <si>
    <t>F10; F11; F16; F22</t>
  </si>
  <si>
    <t>RE-09</t>
  </si>
  <si>
    <t>Dependência de pessoas-chave: Hub de Cooperativas trava com ausências de Landi; reprecificação depende da atuária</t>
  </si>
  <si>
    <t>Atraso crítico no Hub por viagens e falta de dados de Landi. Retenção em RE sustentada pela reprecificação contínua de Glace. Líder Jacqueline sobrecarregada; nova estrutura de Placement depende dela.</t>
  </si>
  <si>
    <t>Conhecimento de canais concentrado em uma pessoa; sem backup formal; consultores desfalcados; férias sem substituição.</t>
  </si>
  <si>
    <t>Nº de entregas paradas por ausência de uma pessoa; existência de suplente por frente; documentação dos trabalhos em curso.</t>
  </si>
  <si>
    <t>F14: 'Lentidão no avanço das frentes de cooperativas de crédito e canais Unimed devido à dificuldade de obtenção de dados e desfalques/indisponibilidade de agenda do integrante Christian Landi'. F13: 'Incompatibilidade de agenda de Christian Landi (viagens)'. F22: 'dependendo fortemente do trabalho de reprecificação contínua (Glace)'. F15: Landi 'alertou que está na dependência de Rafael e equipe de projetos para levantamentos necessários' e 'estará em viagem no dia 26'.</t>
  </si>
  <si>
    <t>F13; F14; F15; F22</t>
  </si>
  <si>
    <t>TE-01</t>
  </si>
  <si>
    <t>Vigilância</t>
  </si>
  <si>
    <t>Sem evidência nas fontes</t>
  </si>
  <si>
    <t>As 24 fontes não registram monitoramento de desempenho individual por sistema, rastreamento de atividade de colaboradores ou vigilância algorítmica de equipes. O que existe é acompanhamento de cotações abertas (follow-up em 48h) e monitoramento de risco climático, que não configuram vigilância organizacional.</t>
  </si>
  <si>
    <t>Não aplicável.</t>
  </si>
  <si>
    <t>Verificar em fontes complementares: uso de métricas individuais de produtividade, monitoramento de ferramentas de trabalho, políticas de dados de colaboradores.</t>
  </si>
  <si>
    <t>F18: 'acompanhamento ágil de cotações abertas (follow-up em até 48h)' é o registro mais próximo, e trata de clientes, não de colaboradores.</t>
  </si>
  <si>
    <t>F18</t>
  </si>
  <si>
    <t>Sem evidência</t>
  </si>
  <si>
    <t>TE-02</t>
  </si>
  <si>
    <t>Ferramentas</t>
  </si>
  <si>
    <t>Falhas de UX no cálculo e pagamento afastam corretores; melhorias em cotadores acumulam</t>
  </si>
  <si>
    <t>Corretor testa o seguro próprio, encontra erro na tela de cartão e abandona. Varredura recorrente de melhorias pendentes nos cotadores para evitar descontentamento. Empresarial no Calcule+ abaixo do esperado; 18 melhorias no Vida Coletivo pedidas pela ponta.</t>
  </si>
  <si>
    <t>Cotadores evoluídos por demanda sem gestão de produto digital; sem monitoramento de erro em produção; backlog de UX disputa com projetos.</t>
  </si>
  <si>
    <t>Taxa de erro em telas de pagamento; abandono no funil de cotação; nº de melhorias pendentes por cotador; tempo de correção.</t>
  </si>
  <si>
    <t>F18: 'encontra falhas sistêmicas (ex: erros na tela de pagamento/cartão) e abandona a companhia'. F09: 'Realizar varredura de melhorias pendentes nos cotadores para evitar descontentamento de corretores'. F04: '18 melhorias no Vida Coletivo que impactam diretamente a ponta comercial'.</t>
  </si>
  <si>
    <t>F04; F09; F18</t>
  </si>
  <si>
    <t>TE-03</t>
  </si>
  <si>
    <t>Portal de Assessorias entra em operação incompleto: sem pagamentos e com carteira fragmentada</t>
  </si>
  <si>
    <t>Esteira do portal não contempla pagamentos; gestão de carteira exige acessar portais individuais dos corretores vinculados; pipeline fornecido manualmente pela estratégia; risco de apontamento de auditoria.</t>
  </si>
  <si>
    <t>Escopo definido pela área de projetos sem a esteira completa; assessorias tratadas como agregado de corretores; ausência de dono de produto do portal.</t>
  </si>
  <si>
    <t>% da jornada da assessoria coberta pelo portal; nº de acessos manuais necessários por assessoria; apontamentos de auditoria; adoção pelas assessorias.</t>
  </si>
  <si>
    <t>F15: 'a esteira não contempla a funcionalidade de pagamentos'; 'Gestão de carteira fragmentada (necessidade de acessar portais individuais dos corretores vinculados); fornecimento manual de pipeline pela estratégia comercial; riscos operacionais e apontamentos de auditoria'; 'O projeto atual entrará em operação de forma incompleta'.</t>
  </si>
  <si>
    <t>Vida e RE (canal Assessorias)</t>
  </si>
  <si>
    <t>TE-04</t>
  </si>
  <si>
    <t>Plataformas</t>
  </si>
  <si>
    <t>Meios de pagamento defasados: sem Pix recorrente e cartão em todos os produtos; entregas só em 2027</t>
  </si>
  <si>
    <t>Ausência de Pix recorrente e cartão é limitador competitivo (Tokio Marine como benchmark). Banco Central move para substituir boletos (R$ 5,00) por Pix (centavos). Projeto Meios de Pagamento não contempla claramente as tratativas do BACEN. Portal de Assessorias sem pagamentos.</t>
  </si>
  <si>
    <t>Cobrança em sistemas legados com múltiplos CNPJs; projeto corporativo de pagamentos priorizado para Odonto; SUSEP na fila para 2027.</t>
  </si>
  <si>
    <t>% de prêmios cobrados por Pix/cartão; custo de cobrança por apólice; prazo do projeto de pagamentos para SUSEP; conformidade com regra do BC.</t>
  </si>
  <si>
    <t>F09: 'A ausência de métodos como Pix recorrente e cartões para todos os produtos é um limitador competitivo'; 'as entregas sistêmicas de pagamento ficarão para 2027'. F02: 'Custo do boleto (aprox. R$ 5,00) vs. PIX (centavos)'; 'avaliando a prontidão dos sistemas legados'. F15: 'exclusão da esteira de pagamentos no escopo do projeto do Portal de Assessorias'.</t>
  </si>
  <si>
    <t>F02; F09; F15</t>
  </si>
  <si>
    <t>TE-05</t>
  </si>
  <si>
    <t>Legados sem marcadores para cross-selling; faturamento gerencial manual; sem cobrança única entre CNPJs</t>
  </si>
  <si>
    <t>Sistemas não identificam cliente comum entre Saúde, Vida e RE; faturamento gerencial feito à mão; cobrança única e jornada integrada exigem projeto; barreiras conhecidas desde 2022.</t>
  </si>
  <si>
    <t>Empresas do grupo em CNPJs distintos com contabilidades separadas; ausência de cliente único; integração tratada como demanda e não como plataforma.</t>
  </si>
  <si>
    <t>Existência de identificador de cliente único; % de clientes com produtos em mais de uma empresa; disponibilidade de fatura única.</t>
  </si>
  <si>
    <t>F09: 'dificuldades de realizar Cross-selling (ex: Saúde + Vida) devido à falta de marcadores nos sistemas legados e faturamento gerencial manual'. F06: 'necessidade de cobrança única e jornada integrada; impacto na contabilidade e custos entre diferentes CNPJs'.</t>
  </si>
  <si>
    <t>F06; F09</t>
  </si>
  <si>
    <t>TE-06</t>
  </si>
  <si>
    <t>Gestão algorítmica</t>
  </si>
  <si>
    <t>Sem DPS inteligente nem aceitação automática; concorrentes já usam IA para aceitar até R$ 1 milhão</t>
  </si>
  <si>
    <t>DPS com perguntas fixas; concorrentes (Icatu, Tokio e, pela grafia da ata, 'Asus', possivelmente Azos) testam ou usam IA para aceitação automática de capitais altos. Regras de IMC implementadas em janeiro; testes de aceitação via preditivo; IA já usada em sinistro funeral (350/mês). Padronização com o ressegurador só no projeto Unicred.</t>
  </si>
  <si>
    <t>Limitações de TI e arquitetura; auditoria médica com regras fixas; ausência de árvore de perguntas; benefício do ressegurador (Sample Med) não explorado.</t>
  </si>
  <si>
    <t>% de propostas aceitas automaticamente; capital máximo com aceitação automática; existência de DPS em árvore; tempo de decisão.</t>
  </si>
  <si>
    <t>F10: 'concorrentes (Ikatu, Asus, Tóquio) já utilizam ou estão testando IA para aceitação automática de valores altos (até R$ 1 milhão)'; 'Limitações de TI e arquitetura de sistemas'. F17: Unicred exige 'aceitação automática no momento da cotação'. F01 (slide 10 e 11): IA na regulação de sinistro funeral ('média de 350 sinistro mês') e 'fim do declínio automático para IMC acima de 38' aprovado em nov/25. F23: 'premissas documentais padronizadas e idênticas às exigidas pelo ressegurador' adotadas apenas no projeto Unicred.</t>
  </si>
  <si>
    <t>F01; F10; F17; F23</t>
  </si>
  <si>
    <t>TE-07</t>
  </si>
  <si>
    <t>Infraestrutura</t>
  </si>
  <si>
    <t>Defasagem tecnológica estimada em 5 anos; investimento em TI vai para 'enterrar canos', não para canais</t>
  </si>
  <si>
    <t>Excesso de processos manuais e e-mails frente a MAG, Icatu e MetLife que operam com emissão automatizada e motores integrados. Investimentos voltados à fundação estrutural interna, não à customização de canais. Evento Coopday tenta 'desmistificar a falta de tecnologia'.</t>
  </si>
  <si>
    <t>Legado herdado; TI dimensionada para Saúde; priorização de estabilidade sobre canais; ausência de squad de plataforma para SUSEP.</t>
  </si>
  <si>
    <t>% de emissões automatizadas por produto; nº de processos manuais críticos mapeados; roadmap de TI com fatia dedicada a canais SUSEP.</t>
  </si>
  <si>
    <t>F12: 'o cenário tecnológico é de defasagem de 5 anos; os investimentos em TI estão voltados à fundação estrutural e não à pavimentação ou customização de canais'. F11: 'severo atraso tecnológico da companhia (excesso de processos manuais e e-mails) frente a concorrentes como MAG e Icatu'. F16: no Coopday, 'Posicionamento institucional (desmistificar a falta de tecnologia)'.</t>
  </si>
  <si>
    <t>F11; F12; F16</t>
  </si>
  <si>
    <t>TE-08</t>
  </si>
  <si>
    <t>Interfaces</t>
  </si>
  <si>
    <t>Falta de APIs e hub de integração para balcões, cooperativas e multicálculos</t>
  </si>
  <si>
    <t>Acesso a balcões como Caixa exige API (Hub); cooperativas exigem integração com Quiver, Refer, Agger, SIGAS; Unicred exige aceitação automática na cotação via API. POC de segurança e rapidez de APIs só em julho.</t>
  </si>
  <si>
    <t>Arquitetura sem camada de integração; cada cotador integrado caso a caso; fila de APIs para Empresarial e Vida Global disputada na TI.</t>
  </si>
  <si>
    <t>Nº de integrações ativas por cotador/canal; prazo médio de integração; resultado da POC de APIs; % de cotações via API.</t>
  </si>
  <si>
    <t>F07: 'Exigência de integração via API (Hub) para acesso a balcões como o da Caixa'. F04: 'o desafio é a conexão de multicálculos (SIGAS, Quiver, AGGER)'. F22: RFP da Unicred 'demandará integrações de sistemas (Quiver/Refer)'. F16: 'POC para ferramentas de mercado voltadas à segurança e rapidez de APIs (previsão de início em julho)'. F17: Unicred exige 'aceitação automática no momento da cotação' e enviará 'especificação completa de negócio e APIs'.</t>
  </si>
  <si>
    <t>F04; F07; F16; F17; F22</t>
  </si>
  <si>
    <t>TE-09</t>
  </si>
  <si>
    <t>Políticas</t>
  </si>
  <si>
    <t>Regras parametrizadas de compliance e aceitação geram falsos positivos e recusas automáticas</t>
  </si>
  <si>
    <t>Declínio automático para IMC acima de 38 só abolido em nov/25; proposta de R$ 1 milhão barrada por divergência pequena de renda; exigência de exames a partir de 50 anos revista. Regras calibradas em ondas, não por monitoramento contínuo.</t>
  </si>
  <si>
    <t>Parâmetros definidos por auditoria médica e compliance sem revisão periódica com dados de mercado; ausência de indicador de falso positivo.</t>
  </si>
  <si>
    <t>Taxa de falsos positivos em compliance; nº de regras automáticas revisadas por ano; perda de negócio por regra; existência de calendário de revisão.</t>
  </si>
  <si>
    <t>F01 (slide 11): 'fim do declínio automático para IMC acima de 38, subida da aceitação de IMC de 32 para 35'. F11: 'recusa de propostas legítimas por falsos positivos'. F10: 'Eficácia das regras de IMC implementadas em janeiro'.</t>
  </si>
  <si>
    <t>F01; F10; F11</t>
  </si>
  <si>
    <t>TE-10</t>
  </si>
  <si>
    <t>Dataficação</t>
  </si>
  <si>
    <t>Governança de dados ainda em construção: comitê, política de indicadores e datamart previstos e squad de Vida só em junho</t>
  </si>
  <si>
    <t>Modelo de governança de dados (comitê, política de indicadores corporativos, ferramenta oficial) previsto para nov/25; datamart de movimentação de clientes; fórum de resultados com indicadores de cadeia de valor determinado em junho; Vida escolhido como primeiro beneficiado.</t>
  </si>
  <si>
    <t>Dados sem dono corporativo até 2025/26; indicadores estratégicos, táticos e operacionais não integrados; time BGA responsável pela governança.</t>
  </si>
  <si>
    <t>Status do comitê e da política; nº de indicadores oficiais publicados; funcionamento da squad de dados de Vida; tempo para responder pergunta de negócio.</t>
  </si>
  <si>
    <t>F01 (slide 11): 'Criação do Modelo de Governança de Dados... Comitê de Governança, Política de Indicadores Corporativos e definição da ferramenta oficial' (prevista nov/25). F12: 'nova determinação corporativa (pedido de Pedro) para iniciar um fórum de resultados com foco em indicadores estratégicos'; 'Implantar uma Squad focada no ecossistema de Vida'.</t>
  </si>
  <si>
    <t>F01; F12</t>
  </si>
  <si>
    <t>TE-11</t>
  </si>
  <si>
    <t>Automação</t>
  </si>
  <si>
    <t>Motores de cálculo incompletos: endosso e renovação analógicos; prestamista o mais manual</t>
  </si>
  <si>
    <t>Painel verde/amarelo/vermelho mostra grande volume de produtos sem motor automatizado. Mapeamento 'o que tem vs. o que falta' pedido em maio. Prestamista levaria ~3 anos para automatizar.</t>
  </si>
  <si>
    <t>Automação priorizada para venda nova e não para ciclo de vida da apólice; motores Drools dependem de front-end; sem roadmap único.</t>
  </si>
  <si>
    <t>% de produtos com motor em endosso e renovação; volume de operações manuais por mês; prazo de entrega do mapeamento de motores.</t>
  </si>
  <si>
    <t>F05: 'há um grande volume de produtos (especialmente em endosso e renovação) que ainda operam de forma analógica/técnica, sem motor automatizado'; 'a companhia não tem 100% dos motores estruturados'. F11: prestamista 'o produto mais analógico da companhia'. F09: tarefa 'Enviar mapeamento atualizado de motores de cálculo e cotadores (o que tem vs. o que falta)'.</t>
  </si>
  <si>
    <t>F05; F09; F11</t>
  </si>
  <si>
    <t>Cobertura</t>
  </si>
  <si>
    <t>Guia 1. Lente de design organizacional: o que é disfuncional e o que precisa ser definido</t>
  </si>
  <si>
    <t>Leitura dos 72 sintomas por dimensão de design. Colunas amarelas são proposta e devem ser validadas com o time (criar com o time, para o time).</t>
  </si>
  <si>
    <t>Dimensão do design</t>
  </si>
  <si>
    <t>O que é disfuncional hoje</t>
  </si>
  <si>
    <t>Sintomas (IDs)</t>
  </si>
  <si>
    <t>O que precisa ser definido</t>
  </si>
  <si>
    <t>Pergunta de design para o time</t>
  </si>
  <si>
    <t>Quem deve decidir (proposta)</t>
  </si>
  <si>
    <t>1. Direção e metas</t>
  </si>
  <si>
    <t>A meta de 20% não tem base rastreável, diverge do orçamento da Controladoria e não está aberta por ramo e produto. A frente carrega o gap do ano anterior e discute 'refluctuar' a meta em vez de reconciliar os dois sistemas de metas.</t>
  </si>
  <si>
    <t>GV-05; GV-01; OT-11; IN-10</t>
  </si>
  <si>
    <t>Um número-base oficial (fechamento 2024) assinado por Controladoria e Estratégia; metas abertas por ramo (Vida, RE) e produto; regra de reconciliação entre A3 e orçamento; indicador técnico (sinistro) ao lado da meta de crescimento.</t>
  </si>
  <si>
    <t>Qual é o número que todos aceitam como ponto de partida, e quem tem o poder de mudá-lo?</t>
  </si>
  <si>
    <t>Diretoria Comercial (mentor Aguiar) com Controladoria; frente propõe, PIE homologa.</t>
  </si>
  <si>
    <t>2. Estrutura, papéis e divisão do trabalho</t>
  </si>
  <si>
    <t>Um GT para dois negócios (Vida e RE) com dinâmicas distintas; canal Unimed pulverizado; Estratégia Comercial vira destino de assuntos avulsos; só Produtos tem subárea de projetos; conhecimento SUSEP concentrado no GT.</t>
  </si>
  <si>
    <t>OT-11; OT-12; OT-03; OT-15; OT-13; OT-14</t>
  </si>
  <si>
    <t>Duas esteiras (Vida e RE) com líder, indicadores e relatório próprios; dono único do canal Unimed e do canal Cooperativas; matriz de responsabilidades (quem faz, quem decide, quem é consultado) para SUSEP; função de melhoria contínua nas áreas operacionais.</t>
  </si>
  <si>
    <t>Se Vida e RE são negócios diferentes, por que compartilham o mesmo desenho? O que ganha e o que perde ao separar?</t>
  </si>
  <si>
    <t>Líder do GT e facilitadora da Estratégia desenham; mentores validam; RH formaliza.</t>
  </si>
  <si>
    <t>3. Direitos decisórios e alçadas</t>
  </si>
  <si>
    <t>Decisões de política comercial (esgotamento de comissão), de aceitação (compliance, DPS) e de escopo de TI sobem para mentores, COMEX ou RDS. A frente executa mas não decide. Não há via de recurso para recusas.</t>
  </si>
  <si>
    <t>GV-07; GV-02; OT-07; GV-04; GV-08; TE-09</t>
  </si>
  <si>
    <t>Tabela de alçadas por tipo de decisão e valor (o que o GT decide sozinho, o que vai ao fórum, o que vai ao COMEX); alçadas de aceitação por capital segurado; rito de reconsideração de recusas; regra de consentimento técnico para ofertas lançadas por Marketing ou parceiros.</t>
  </si>
  <si>
    <t>Quais decisões o GT pode tomar hoje sem pedir permissão? Quais deveria poder?</t>
  </si>
  <si>
    <t>Diretoria define alçadas; GT propõe a lista a partir dos casos de 2026.</t>
  </si>
  <si>
    <t>4. Fluxo de demanda e priorização</t>
  </si>
  <si>
    <t>Dores da SUSEP chegam por vários comitês (Frente, S&amp;OP, Diagnóstico Comercial, RDS) e por planilhas coletivas que ninguém preenche; diagnóstico com centenas de itens sem filtro; comitê de priorização nasce como MVP e começa por Saúde; 'focar em tudo resulta em não entregar nada'.</t>
  </si>
  <si>
    <t>GV-06; CO-08; IN-01; OT-16; CO-01; CO-04</t>
  </si>
  <si>
    <t>Porta de entrada única (ficha de demanda); time de triagem com cadência; tipologia (estrutural, BAU, adequação, oportunidade); critérios de relevância explícitos; fila única visível às esteiras executoras; regra de 'não abre frente sem braço'.</t>
  </si>
  <si>
    <t>Como um desafio entra, quem o vê primeiro, e como ele sai (resolvido, recusado ou estacionado)?</t>
  </si>
  <si>
    <t>Estratégia (VMO/Daniele) desenha o fluxo com o GT; comitê unificado SUSEP opera.</t>
  </si>
  <si>
    <t>5. Capacidade e alocação (gente e tempo)</t>
  </si>
  <si>
    <t>Operação saturada; três consultores a menos; líder absorve o operacional; TI sem braço dedicado à SUSEP; dependência de pessoas-chave; agendas colidem com COMEX, cursos e férias; reunião semanal curta para temas técnicos.</t>
  </si>
  <si>
    <t>OT-04; OT-05; RE-08; RE-09; RE-04; RE-05; OT-09</t>
  </si>
  <si>
    <t>Dedicação mínima por membro do GT (horas protegidas); squad com núcleo fixo para SUSEP (TI, Processos, Dados); suplente por frente crítica; calendário anual de ritos com prioridade formal; plano de reposição de consultores.</t>
  </si>
  <si>
    <t>Quanto tempo cada pessoa realmente tem para a frente, e o que sai da rotina para abrir espaço?</t>
  </si>
  <si>
    <t>Superintendentes (mentores) alocam; RH e Estratégia registram a dedicação.</t>
  </si>
  <si>
    <t>6. Sistemas, dados e ferramentas</t>
  </si>
  <si>
    <t>Defasagem de 5 anos; motores incompletos; sem APIs; pagamentos só em 2027; BI fora do ar; ponto de venda não rastreável; vidas não contáveis; renovação as-is; portal sem pagamentos; ferramenta de gestão trocada duas vezes em seis meses.</t>
  </si>
  <si>
    <t>TE-07; TE-11; TE-08; TE-04; IN-12; IN-11; IN-07; OT-06; TE-03; GV-09; IN-06</t>
  </si>
  <si>
    <t>Roadmap único produto-motor-front-API com fatia reservada à SUSEP; dono de produto digital para cotadores e portais; padrão mínimo de dados (cliente único, ponto de venda, vidas); critério de estabilidade para ferramenta de gestão (não trocar sem migrar histórico).</t>
  </si>
  <si>
    <t>Quais dez processos manuais, se automatizados, mudam o ponteiro? Quem decide a ordem?</t>
  </si>
  <si>
    <t>TI (Alessandra) com Produtos e Estratégia; comitê de priorização ordena; diretoria patrocina.</t>
  </si>
  <si>
    <t>7. Ritos, cadência e memória</t>
  </si>
  <si>
    <t>Reuniões sem pauta; engajamento só na reunião; 80/20 de status; ritos com mentores de 30 minutos, adiados ou ausentes; fóruns preparados para evitar perguntas; memória só em atas (uma duplicada, marcas de geração automática).</t>
  </si>
  <si>
    <t>OT-01; OT-16; RE-05; GV-10; GV-03; IN-16</t>
  </si>
  <si>
    <t>Padrão de pauta e resultado esperado; reunião semanal de deliberação (insumo antes); rito de triagem quinzenal; fórum mensal com deliberações registradas (dono, prazo); mentoria com no mínimo 1h por tema denso; repositório único de decisões.</t>
  </si>
  <si>
    <t>O que cada rito decide, e o que acontece se ele não acontecer?</t>
  </si>
  <si>
    <t>GT define e cumpre; Estratégia guarda o padrão; frente de Cultura apoia.</t>
  </si>
  <si>
    <t>8. Interfaces externas (canais, parceiros, Marketing)</t>
  </si>
  <si>
    <t>Marketing e Corretora Digital decidem sem aval técnico; pós-venda PF sem dono; corretores somem após a primeira cotação; agências das cooperativas não sabem vender Vida; parceiros (Unicred) impõem prazos que a companhia não consegue cumprir.</t>
  </si>
  <si>
    <t>GV-08; CO-05; IN-05; OT-14; CO-03; RE-03; RE-02</t>
  </si>
  <si>
    <t>Regra de consentimento para ofertas e canais novos; dono do pós-venda PF; programa nacional de onboarding de corretores; esteira sem fricção para cooperativas; acordo de nível de serviço com parceiros (prazos realistas).</t>
  </si>
  <si>
    <t>Quem representa a SUSEP na mesa quando Marketing, parceiro ou cooperativa decide algo que a operação terá de sustentar?</t>
  </si>
  <si>
    <t>Líder do GT como representante formal; mentor Aguiar arbitra com Marketing.</t>
  </si>
  <si>
    <t>9. Medição de sucesso e aprendizado</t>
  </si>
  <si>
    <t>Percentuais de conclusão confundem entrega com resultado; 'não-ganhos' e 'número invisível' não são registrados; percepção da ponta e dados divergem; sinistralidade fora do painel; concorrência percebida tarde.</t>
  </si>
  <si>
    <t>GV-09; IN-04; IN-02; IN-10; IN-14; IN-09</t>
  </si>
  <si>
    <t>Poucos indicadores por esteira (resultado, técnico, operacional); registro de negócios perdidos por causa; rito de leitura conjunta dado e ponta; radar de mercado com dono e periodicidade; definição de sucesso por iniciativa antes de começar.</t>
  </si>
  <si>
    <t>Como saberemos, em três meses, que o novo desenho funcionou?</t>
  </si>
  <si>
    <t>GT define os indicadores; Estratégia mede; mentores cobram.</t>
  </si>
  <si>
    <t>Números nas propostas (cotas, limites, horas, durações) são pontos de partida para calibrar com o time (Guia 6), não recomendações fechadas.</t>
  </si>
  <si>
    <t>Guia 2. Como os desafios chegam, como eles saem, e como sei o que é relevante</t>
  </si>
  <si>
    <t>Bloco A: etapas do fluxo (hoje x proposto). Bloco B: critérios de relevância. Bloco C: modelo de pontuação para o time preencher (células azuis são entrada).</t>
  </si>
  <si>
    <t>Etapa</t>
  </si>
  <si>
    <t>Como acontece hoje (evidência)</t>
  </si>
  <si>
    <t>Como deveria acontecer (proposta)</t>
  </si>
  <si>
    <t>Regra</t>
  </si>
  <si>
    <t>Dono (proposta)</t>
  </si>
  <si>
    <t>Artefato</t>
  </si>
  <si>
    <t>1. Entrada</t>
  </si>
  <si>
    <t>Demandas chegam por reunião, WhatsApp, e-mail, planilhas coletivas, S&amp;OP, RDS, Marketing e parceiros; a Estratégia Comercial recebe 'assuntos avulsos' sem filtro.</t>
  </si>
  <si>
    <t>CO-08; OT-03; GV-08</t>
  </si>
  <si>
    <t>Porta única: ficha de demanda com problema, quem sofre, evidência, valor esperado e prazo externo (se houver). Sem ficha, não entra na fila.</t>
  </si>
  <si>
    <t>Toda demanda tem ficha e autor.</t>
  </si>
  <si>
    <t>Facilitadora da Estratégia (Fabíola)</t>
  </si>
  <si>
    <t>Ficha de demanda (1 página)</t>
  </si>
  <si>
    <t>2. Registro e visibilidade</t>
  </si>
  <si>
    <t>Planilhas apartadas, lembretes repetidos, histórico zerado a cada troca de ferramenta.</t>
  </si>
  <si>
    <t>OT-16; GV-09; IN-16</t>
  </si>
  <si>
    <t>Fila única visível (Jira) com status, tipo, dono e decisão. Histórico preservado.</t>
  </si>
  <si>
    <t>Uma fila, uma ferramenta, um histórico.</t>
  </si>
  <si>
    <t>Estratégia (PMO da frente)</t>
  </si>
  <si>
    <t>Fila única no Jira</t>
  </si>
  <si>
    <t>3. Triagem</t>
  </si>
  <si>
    <t>Não existe rito; tudo vai para a reunião semanal ou para o mentor.</t>
  </si>
  <si>
    <t>GV-06; GV-02; RE-05</t>
  </si>
  <si>
    <t>Time de triagem quinzenal (30 min) classifica em: Estrutural, BAU, Adequação ou Oportunidade; aplica critérios de relevância; devolve demandas mal enquadradas ao autor.</t>
  </si>
  <si>
    <t>Nenhuma demanda vai a fórum sem passar pela triagem.</t>
  </si>
  <si>
    <t>Time de triagem (ver Guia 3)</t>
  </si>
  <si>
    <t>Ficha carimbada com tipo e nota</t>
  </si>
  <si>
    <t>4. Enquadramento</t>
  </si>
  <si>
    <t>Discussões repetitivas; listas com centenas de itens; mistura de receita, eficiência e lei.</t>
  </si>
  <si>
    <t>IN-01; GV-06</t>
  </si>
  <si>
    <t>Para demandas relevantes: enquadrar o problema (causa raiz), a hipótese de solução, o valor em R$ ou tempo, e o que 'muda o ponteiro'. Máximo de 5 enquadramentos abertos por esteira.</t>
  </si>
  <si>
    <t>Enquadramento antes de estudo; limite de itens abertos.</t>
  </si>
  <si>
    <t>Líder da esteira (Vida ou RE) com Produtos</t>
  </si>
  <si>
    <t>Canvas de enquadramento (A3 curto)</t>
  </si>
  <si>
    <t>5. Estudo</t>
  </si>
  <si>
    <t>Estudos surgem por provocação (Hub, Espaço Corretor, DPS) e dependem de uma pessoa e de dados que não existem.</t>
  </si>
  <si>
    <t>RE-09; IN-06; IN-14</t>
  </si>
  <si>
    <t>Escolher o modo: Assessment fechado (pergunta definida, prazo curto), Discovery aberto (problema difuso, pesquisa com ponta e mercado), Olhar mercado (benchmark IM) ou Decupagem com TI (quebra de escopo em épicos com estimativa). Definir prazo e saída antes de começar.</t>
  </si>
  <si>
    <t>Todo estudo tem pergunta, modo, prazo e saída definidos.</t>
  </si>
  <si>
    <t>Dono do enquadramento; IM e TI como apoio</t>
  </si>
  <si>
    <t>Plano de estudo (meia página)</t>
  </si>
  <si>
    <t>6. Concepção da solução</t>
  </si>
  <si>
    <t>Solução tende a ser 'pedir para a TI'; paliativos surgem sem registro (links no pós-venda).</t>
  </si>
  <si>
    <t>CO-10; OT-09; TE-05</t>
  </si>
  <si>
    <t>Gerar opções: construir, comprar pronto, parceiro/terceiro, paliativo com retaguarda humana, ou não fazer. Comparar por valor, prazo, custo e risco. Registrar a opção escolhida e o porquê.</t>
  </si>
  <si>
    <t>Sempre pelo menos duas opções, uma delas 'não fazer'.</t>
  </si>
  <si>
    <t>Líder da esteira com TI, Produtos e Atuarial ('triângulo')</t>
  </si>
  <si>
    <t>Comparativo de opções</t>
  </si>
  <si>
    <t>7. Decisão e priorização</t>
  </si>
  <si>
    <t>Priorização difusa; comitê como MVP; escalações frequentes; decisões travadas por anos (esgotamento de comissão).</t>
  </si>
  <si>
    <t>GV-06; GV-07; GV-02; CO-01</t>
  </si>
  <si>
    <t>Comitê unificado SUSEP mensal decide dentro da alçada; acima dela, leva ao fórum com recomendação única. Cada decisão sai com dono, prazo, capacidade alocada e indicador de sucesso.</t>
  </si>
  <si>
    <t>Decisão sem dono, prazo e braço não é decisão.</t>
  </si>
  <si>
    <t>Comitê unificado SUSEP; fórum de gestão para exceções</t>
  </si>
  <si>
    <t>Ata de decisão (dono, prazo, braço, métrica)</t>
  </si>
  <si>
    <t>8. Execução</t>
  </si>
  <si>
    <t>Projetos trocados por emergências; sem squad dedicada; dependência de fila da TI.</t>
  </si>
  <si>
    <t>CO-01; RE-08; OT-04</t>
  </si>
  <si>
    <t>Executar em squad com núcleo fixo (TI, Processos, Dados) e participantes volantes; para temas críticos, 'sala de guerra' (poucas pautas, conclusão em semanas). Emergências operacionais em fila separada com cota.</t>
  </si>
  <si>
    <t>Emergência não rouba a fila de projeto sem decisão do comitê.</t>
  </si>
  <si>
    <t>Líder da squad; TI (Alessandra)</t>
  </si>
  <si>
    <t>Quadro da squad; cota de emergência</t>
  </si>
  <si>
    <t>9. Entrega e adoção</t>
  </si>
  <si>
    <t>Ferramentas entram incompletas (portal sem pagamentos, renovação as-is); comunicação à ponta filtrada.</t>
  </si>
  <si>
    <t>TE-03; OT-06; IN-03; IN-15</t>
  </si>
  <si>
    <t>Definição de pronto inclui: jornada ponta a ponta, comunicação ao comercial, FAQ/matriz de coberturas atualizada, e validação com a operação que vai sustentar.</t>
  </si>
  <si>
    <t>Nada entra em produção sem a operação e a ponta terem visto.</t>
  </si>
  <si>
    <t>Produtos e Operação em conjunto</t>
  </si>
  <si>
    <t>Checklist de pronto</t>
  </si>
  <si>
    <t>10. Medição</t>
  </si>
  <si>
    <t>% de conclusão confunde entrega e resultado; não-ganhos não registrados.</t>
  </si>
  <si>
    <t>GV-09; IN-04; IN-02</t>
  </si>
  <si>
    <t>Cada entrega tem indicador de resultado (venda, retenção, tempo, custo) medido 30 e 90 dias depois; negócios perdidos por limitação registrados na mesma fila.</t>
  </si>
  <si>
    <t>Entrega sem medição não fecha.</t>
  </si>
  <si>
    <t>Estratégia mede; dono responde</t>
  </si>
  <si>
    <t>Painel por esteira</t>
  </si>
  <si>
    <t>11. Saída (encerramento)</t>
  </si>
  <si>
    <t>Itens somem, ficam em 'estacionamento de ideias' ou são fechados administrativamente para limpar histórico.</t>
  </si>
  <si>
    <t>GV-09; GV-06</t>
  </si>
  <si>
    <t>Três saídas explícitas: Resolvido (com resultado medido), Recusado (com motivo registrado) ou Estacionado (com data de revisão). Toda demanda sai por uma delas.</t>
  </si>
  <si>
    <t>Nenhuma demanda desaparece.</t>
  </si>
  <si>
    <t>Comitê unificado</t>
  </si>
  <si>
    <t>Registro de encerramento</t>
  </si>
  <si>
    <t>Bloco B. Como sei o que é relevante: critérios de relevância</t>
  </si>
  <si>
    <t>Critérios extraídos das próprias fontes (quem propôs e onde) e organizados como filtro de triagem.</t>
  </si>
  <si>
    <t>Critério</t>
  </si>
  <si>
    <t>Pergunta de triagem</t>
  </si>
  <si>
    <t>Origem nas fontes</t>
  </si>
  <si>
    <t>Peso sugerido (0 a 5)</t>
  </si>
  <si>
    <t>Muda o ponteiro de crescimento</t>
  </si>
  <si>
    <t>A demanda altera venda nova, renovação ou retenção de forma mensurável em Vida ou RE?</t>
  </si>
  <si>
    <t>F13: 'focar as listas de diagnóstico em itens que de fato alterem o ponteiro de crescimento'; F11: 'o que traz resultado de imediato para virar os ponteiros'</t>
  </si>
  <si>
    <t>Tipo: receita, eficiência ou lei</t>
  </si>
  <si>
    <t>É geração de receita, eficiência operacional básica ou exigência regulatória? (lei tem prazo e não se discute; eficiência básica vai para BAU)</t>
  </si>
  <si>
    <t>F13: filtros de Tatiane separando receita, eficiência e regulatório</t>
  </si>
  <si>
    <t>Prontidão</t>
  </si>
  <si>
    <t>Está pronto para escala imediata ou exige construir do zero? (Vida Individual pronto x Prestamista analógico)</t>
  </si>
  <si>
    <t>F11: 'focar no que está pronto para escala imediata e criar alternativa viável para o resto'</t>
  </si>
  <si>
    <t>Impacto x esforço</t>
  </si>
  <si>
    <t>Qual o valor estimado (R$, tempo, clientes) contra o esforço e a dependência de TI?</t>
  </si>
  <si>
    <t>F13: 'filtros de impacto vs. esforço complexidade'</t>
  </si>
  <si>
    <t>Prazo externo</t>
  </si>
  <si>
    <t>Há prazo imposto por parceiro, regulador ou mercado? (Unicred jan/2027; Nova Lei; BC Pix)</t>
  </si>
  <si>
    <t>F17: prestamista 'prazo para janeiro de 2027 é altamente crítico'; F02: movimento do Banco Central</t>
  </si>
  <si>
    <t>Canal e volume</t>
  </si>
  <si>
    <t>Atinge o canal corretor (65% da operação), cooperativas em crescimento ou o canal Unimed?</t>
  </si>
  <si>
    <t>F22: 'o canal corretor representa 65% da operação da SUSEP'</t>
  </si>
  <si>
    <t>Custo do não-ganho</t>
  </si>
  <si>
    <t>Quanto já se perdeu por não ter isso? (esgotamento de comissão, DPS, pagamentos)</t>
  </si>
  <si>
    <t>F12: documentar 'não-ganhos'; F18: 'número invisível'</t>
  </si>
  <si>
    <t>Braço disponível</t>
  </si>
  <si>
    <t>Existe capacidade real (pessoas e TI) para executar sem tirar de entrega em curso?</t>
  </si>
  <si>
    <t>F20 e F22: não assumir novas frentes sem braço</t>
  </si>
  <si>
    <t>Peso é proposta: o time calibra na sessão de co-criação (Guia 6).</t>
  </si>
  <si>
    <t>Bloco C. Modelo de pontuação (template para o time preencher)</t>
  </si>
  <si>
    <t>Entradas em azul (0 a 5 por critério). A nota é fórmula: soma ponderada pelos pesos do Bloco B. Linhas de exemplo são ilustrativas e devem ser revistas pelo time.</t>
  </si>
  <si>
    <t>Pesos</t>
  </si>
  <si>
    <t>Nota máxima</t>
  </si>
  <si>
    <t>Demanda (exemplo)</t>
  </si>
  <si>
    <t>Muda o ponteiro</t>
  </si>
  <si>
    <t>Tipo (lei=5, receita=4, eficiência=2)</t>
  </si>
  <si>
    <t>Nota (fórmula)</t>
  </si>
  <si>
    <t>% da máxima</t>
  </si>
  <si>
    <t>Tipo (triagem)</t>
  </si>
  <si>
    <t>Esgotamento de comissão em RE (GV-07)</t>
  </si>
  <si>
    <t>Estrutural</t>
  </si>
  <si>
    <t>Prestamista prêmio único Unicred (CO-03)</t>
  </si>
  <si>
    <t>DPS inteligente / aceitação automática (TE-06)</t>
  </si>
  <si>
    <t>Restabelecer BI (IN-12)</t>
  </si>
  <si>
    <t>BAU</t>
  </si>
  <si>
    <t>Cartas da Nova Lei de Seguros (F10)</t>
  </si>
  <si>
    <t>Adequação</t>
  </si>
  <si>
    <t>Ativação comercial SPFC (OT-10)</t>
  </si>
  <si>
    <t>Oportunidade</t>
  </si>
  <si>
    <t>(nova demanda)</t>
  </si>
  <si>
    <t>Legenda: azul = entrada do time; preto = fórmula. As notas dos exemplos são ilustrativas, não avaliação das fontes.</t>
  </si>
  <si>
    <t>Guia 3. Triagem: tipos de problema, time de análise, o que estudar, o que terceirizar, como controlar e medir</t>
  </si>
  <si>
    <t>Tipologia proposta a partir dos casos registrados nas fontes. Colunas amarelas são proposta.</t>
  </si>
  <si>
    <t>Tipo de demanda</t>
  </si>
  <si>
    <t>Definição</t>
  </si>
  <si>
    <t>Como reconhecer</t>
  </si>
  <si>
    <t>Exemplos nas fontes (IDs)</t>
  </si>
  <si>
    <t>Quem analisa</t>
  </si>
  <si>
    <t>Caminho de estudo</t>
  </si>
  <si>
    <t>Terceirizar? (critério)</t>
  </si>
  <si>
    <t>Como controlar</t>
  </si>
  <si>
    <t>Como medir sucesso</t>
  </si>
  <si>
    <t>Regras</t>
  </si>
  <si>
    <t>Problema ESTRUTURAL (não atende)</t>
  </si>
  <si>
    <t>A companhia não consegue atender uma necessidade de mercado ou de parceiro porque falta capacidade sistêmica, processo ou política. Não se resolve com ajuste; exige construir, comprar ou mudar regra.</t>
  </si>
  <si>
    <t>Aparece repetidamente em atas por meses; concorrente já faz; parceiro exige; solução passa por TI, Atuarial e política ao mesmo tempo.</t>
  </si>
  <si>
    <t>GV-07 (esgotamento de comissão); CO-03 (prestamista prêmio único); TE-06 (DPS inteligente); TE-08 (APIs); TE-04 (pagamentos); CO-10 (cross-sell); TE-11 (motores); IN-07 (vidas por CPF)</t>
  </si>
  <si>
    <t>Time de triagem completo + dono de esteira + TI arquitetura</t>
  </si>
  <si>
    <t>Assessment fechado quando a pergunta é clara (ex.: quanto custa e quanto rende o esgotamento); Discovery aberto quando o problema é difuso (ex.: Hub de Cooperativas); sempre Olhar mercado (IM) e Decupar escopo com TI antes de decidir.</t>
  </si>
  <si>
    <t>Sim quando: mercado tem pronto (DPS via ressegurador Sample Med; APIs de mercado em POC), prazo externo é crítico (Unicred jan/2027) ou a capacidade interna é zero. Não quando: é core de precificação ou aceitação (fica com Atuarial e Subscrição).</t>
  </si>
  <si>
    <t>Comitê unificado mensal; épicos no Jira; gate por etapa (enquadrado, estudado, decidido, em execução); patrocinador nomeado (mentor).</t>
  </si>
  <si>
    <t>Resultado de negócio 90 dias após entrega (venda nova, retenção, tempo de aceitação); não-ganhos evitados; prazo externo cumprido.</t>
  </si>
  <si>
    <t>Não entra em execução sem patrocinador, braço alocado e indicador; máximo de 3 estruturais em execução por esteira.</t>
  </si>
  <si>
    <t>Problema de BAU (sustentação)</t>
  </si>
  <si>
    <t>Rotina que quebrou ou degrada o dia a dia: sistema fora do ar, dado errado, fila parada, retrabalho. Não muda o modelo de negócio, mas sem ele nada anda.</t>
  </si>
  <si>
    <t>Impacta hoje; tem solução conhecida; reclamação da ponta ou da operação; não precisa de estudo.</t>
  </si>
  <si>
    <t>IN-12 (BI fora do ar); CO-07 (remissão de faturas); IN-11 (códigos de corretor); CO-02 (pendências &gt;40 dias); OT-06 (renovação as-is); TE-02 (erro na tela de pagamento)</t>
  </si>
  <si>
    <t>Operação/Subscrição (Alan, Aretha) + TI sustentação; não passa pela reunião do GT</t>
  </si>
  <si>
    <t>Sem estudo: correção direta com prazo. Se a mesma falha volta três vezes, vira Estrutural.</t>
  </si>
  <si>
    <t>Raramente; só suporte especializado pontual (fornecedor do sistema).</t>
  </si>
  <si>
    <t>Fila de sustentação separada da fila de projeto, com cota de capacidade da TI (ex.: 20%) e SLA por severidade.</t>
  </si>
  <si>
    <t>Tempo de restabelecimento; recorrência; horas manuais evitadas; nota de processos no clima.</t>
  </si>
  <si>
    <t>Emergência não entra na fila de projeto; BAU tem cota e SLA; reincidência escala.</t>
  </si>
  <si>
    <t>ADEQUAÇÃO (regulatório, parceiro, contrato)</t>
  </si>
  <si>
    <t>Exigência externa com prazo e sem opção de não fazer: lei, regulador (SUSEP, BC), contrato de parceiro, ressegurador.</t>
  </si>
  <si>
    <t>Tem data; tem penalidade; a discussão é 'como', não 'se'.</t>
  </si>
  <si>
    <t>Nova Lei de Seguros e cartas (F10); regra do BC para boletos (TE-04); saneamento SUSEP de corretores (IN-09); exigências documentais do ressegurador (CO-02); Unicred prêmio único (CO-03, também estrutural)</t>
  </si>
  <si>
    <t>Jurídico/Compliance + Produtos + dono de esteira; triagem só confirma prazo e escopo</t>
  </si>
  <si>
    <t>Assessment fechado (o que exatamente é exigido, até quando, o que falta). Decupar escopo com TI se houver sistema envolvido.</t>
  </si>
  <si>
    <t>Sim para expertise regulatória pontual; execução fica interna.</t>
  </si>
  <si>
    <t>Cronograma legal com marco no comitê; alerta 90/60/30 dias.</t>
  </si>
  <si>
    <t>Prazo cumprido; zero apontamento de auditoria; custo de adequação dentro do previsto.</t>
  </si>
  <si>
    <t>Adequação tem prioridade automática sobre Oportunidade, mas não suspende Estrutural em execução sem decisão do comitê.</t>
  </si>
  <si>
    <t>OPORTUNIDADE (opcional, com janela)</t>
  </si>
  <si>
    <t>Possibilidade de ganho que surge de fora (patrocínio, evento, parceiro novo, canal digital). Vale se for barata e rápida; não substitui o plano.</t>
  </si>
  <si>
    <t>Chega por Marketing, mentor ou parceiro; entusiasmo alto; escopo indefinido; sem dono operacional.</t>
  </si>
  <si>
    <t>OT-10 e RE-07 (SPFC); RE-03 (Espaço Corretor); Coopday e leads (F16); vendas no digital / TikTok (F09 estacionamento de ideias)</t>
  </si>
  <si>
    <t>Time de triagem + Marketing + IM</t>
  </si>
  <si>
    <t>Discovery aberto curto (2 a 4 semanas) com pergunta: 'o que já temos que pode ser empacotado?'. Olhar mercado obrigatório (benchmark).</t>
  </si>
  <si>
    <t>Sim para pesquisa e ativação (UX research, agência); produto e preço ficam internos.</t>
  </si>
  <si>
    <t>Piloto com prazo e orçamento fechados; revisão em 60 dias; encerramento explícito.</t>
  </si>
  <si>
    <t>Receita atribuída; custo por cliente; aprendizado registrado.</t>
  </si>
  <si>
    <t>Oportunidade só entra se não tirar braço de Estrutural em execução; sem plano de negócio não avança.</t>
  </si>
  <si>
    <t>Time de análise de demanda (proposta)</t>
  </si>
  <si>
    <t>Composição mínima, dedicação e papel. Criar com o time: nomes são os que aparecem nas fontes com o papel correspondente.</t>
  </si>
  <si>
    <t>Papel no time de triagem</t>
  </si>
  <si>
    <t>Quem hoje exerce papel próximo (fontes)</t>
  </si>
  <si>
    <t>Dedicação proposta</t>
  </si>
  <si>
    <t>O que faz na triagem</t>
  </si>
  <si>
    <t>O que não faz</t>
  </si>
  <si>
    <t>Facilitador e guardião do fluxo</t>
  </si>
  <si>
    <t>Fabíola (Estratégia)</t>
  </si>
  <si>
    <t>4h por quinzena</t>
  </si>
  <si>
    <t>Convoca, garante ficha preenchida, registra decisão, mantém a fila única.</t>
  </si>
  <si>
    <t>Não decide mérito; não executa.</t>
  </si>
  <si>
    <t>Dono da esteira Vida</t>
  </si>
  <si>
    <t>Jacqueline (líder do GT) ou colíder</t>
  </si>
  <si>
    <t>2h por quinzena</t>
  </si>
  <si>
    <t>Julga relevância para Vida; enquadra; leva ao comitê.</t>
  </si>
  <si>
    <t>Não absorve demandas avulsas de outras áreas.</t>
  </si>
  <si>
    <t>Dono da esteira RE</t>
  </si>
  <si>
    <t>Alan (colíder)</t>
  </si>
  <si>
    <t>Julga relevância para RE; representa Subscrição e Operação.</t>
  </si>
  <si>
    <t>Idem.</t>
  </si>
  <si>
    <t>Produtos</t>
  </si>
  <si>
    <t>Tatiane</t>
  </si>
  <si>
    <t>Confirma tipo (receita, eficiência, lei), prontidão e impacto em produto.</t>
  </si>
  <si>
    <t>Não assume desenvolvimento sem TI.</t>
  </si>
  <si>
    <t>Atuarial e técnica</t>
  </si>
  <si>
    <t>Glace</t>
  </si>
  <si>
    <t>1h por quinzena</t>
  </si>
  <si>
    <t>Avalia efeito em preço, sinistro e apetite de risco.</t>
  </si>
  <si>
    <t>Não faz estudo de mercado.</t>
  </si>
  <si>
    <t>TI e arquitetura</t>
  </si>
  <si>
    <t>Alessandra</t>
  </si>
  <si>
    <t>Decupa escopo, estima esforço, diz o que é comprável e o que é construível.</t>
  </si>
  <si>
    <t>Não prioriza sozinha.</t>
  </si>
  <si>
    <t>Inteligência de mercado</t>
  </si>
  <si>
    <t>Daniel (IM) com equipe da IM</t>
  </si>
  <si>
    <t>Traz benchmark, radar e dados de concorrência para o critério 'olhar mercado'.</t>
  </si>
  <si>
    <t>Não decide.</t>
  </si>
  <si>
    <t>Canais</t>
  </si>
  <si>
    <t>Christian Landi</t>
  </si>
  <si>
    <t>1h por quinzena (com suplente)</t>
  </si>
  <si>
    <t>Representa cooperativas e Unimeds; traz prazos e exigências de parceiros.</t>
  </si>
  <si>
    <t>Ausência não bloqueia: suplente decide.</t>
  </si>
  <si>
    <t>Processos e VMO</t>
  </si>
  <si>
    <t>Daniele (VMO) ou Cabral (Processos)</t>
  </si>
  <si>
    <t>Cruza com as esteiras executoras (TI, Processos, PMO, Inovação) e com o comitê de priorização.</t>
  </si>
  <si>
    <t>Não duplica a fila.</t>
  </si>
  <si>
    <t>Gente de fora (quando)</t>
  </si>
  <si>
    <t>Consultoria Linea (F12); Research/UX (Hugo, F19); ressegurador; Faculdade Unimed; birôs de dados</t>
  </si>
  <si>
    <t>Por estudo</t>
  </si>
  <si>
    <t>Discovery aberto, pesquisa com a ponta, benchmark, expertise regulatória ou tecnológica que não existe dentro.</t>
  </si>
  <si>
    <t>Não decide nem substitui o dono interno.</t>
  </si>
  <si>
    <t>Vamos estudar o quê? O que terceirizar? Como controlar? (matriz de decisão)</t>
  </si>
  <si>
    <t>Decisão</t>
  </si>
  <si>
    <t>Fazer internamente quando</t>
  </si>
  <si>
    <t>Terceirizar ou comprar quando</t>
  </si>
  <si>
    <t>Não fazer (ou paliativo) quando</t>
  </si>
  <si>
    <t>Controle mínimo</t>
  </si>
  <si>
    <t>Exemplo nas fontes</t>
  </si>
  <si>
    <t>Estudar (assessment fechado)</t>
  </si>
  <si>
    <t>A pergunta é clara e os dados existem em casa (Controladoria, Atuarial, RGS).</t>
  </si>
  <si>
    <t>A pergunta exige dado de mercado que não temos (cooperativas, concorrentes).</t>
  </si>
  <si>
    <t>A resposta não muda a decisão (estudar por estudar).</t>
  </si>
  <si>
    <t>Pergunta, prazo (máx. 4 semanas), responsável, saída escrita.</t>
  </si>
  <si>
    <t>Benchmark de esgotamento de comissão (F23); orçamento de sinistro por região (F24)</t>
  </si>
  <si>
    <t>Descobrir (discovery aberto)</t>
  </si>
  <si>
    <t>O problema é interno e a ponta está acessível (corretores, escritórios, gerentes).</t>
  </si>
  <si>
    <t>Precisa de método de pesquisa e neutralidade (UX research, consultoria).</t>
  </si>
  <si>
    <t>O tema já foi diagnosticado e só falta decidir.</t>
  </si>
  <si>
    <t>Hipóteses iniciais, amostra, prazo (máx. 8 semanas), síntese com recomendação.</t>
  </si>
  <si>
    <t>Espaço Corretor (F19); Hub de Cooperativas (F11); diagnóstico de churn (F09, F23)</t>
  </si>
  <si>
    <t>Olhar mercado</t>
  </si>
  <si>
    <t>Sempre, via IM, antes de qualquer estrutural.</t>
  </si>
  <si>
    <t>Quando IM não cobre o segmento (cooperativas, afinidades).</t>
  </si>
  <si>
    <t>Nunca pular.</t>
  </si>
  <si>
    <t>Radar com dono e periodicidade; fonte citada.</t>
  </si>
  <si>
    <t>Radar Estratégico e radar da IM (F15); painel V4 de sinistralidade (F06)</t>
  </si>
  <si>
    <t>Decupar escopo com TI</t>
  </si>
  <si>
    <t>Toda demanda estrutural antes de ir ao comitê.</t>
  </si>
  <si>
    <t>Arquitetura ou integração fora da competência atual (APIs, hub).</t>
  </si>
  <si>
    <t>Demanda BAU (vai direto para sustentação).</t>
  </si>
  <si>
    <t>Épicos, dependências, estimativa, o que é comprável; revisão com Produtos.</t>
  </si>
  <si>
    <t>POC de APIs (F16); mapeamento de motores (F05, F09); cross-sell como projeto (F06)</t>
  </si>
  <si>
    <t>Construir</t>
  </si>
  <si>
    <t>Núcleo do negócio: precificação, aceitação, regras de produto.</t>
  </si>
  <si>
    <t>Nunca o núcleo.</t>
  </si>
  <si>
    <t>Quando existe pronto no mercado com custo menor que o não-ganho.</t>
  </si>
  <si>
    <t>Squad com núcleo fixo; entregas quinzenais; definição de pronto.</t>
  </si>
  <si>
    <t>Pacote do Vida Individual 20/08 (F20, F23); Calcule+ renovações (F22)</t>
  </si>
  <si>
    <t>Comprar ou parceiro</t>
  </si>
  <si>
    <t>Quando o mercado já resolveu (DPS inteligente, birôs, assistência, cotadores).</t>
  </si>
  <si>
    <t>Sempre que prazo externo for menor que o ciclo interno de 2 anos.</t>
  </si>
  <si>
    <t>Quando cria dependência sem saída ou dado sensível sai de casa.</t>
  </si>
  <si>
    <t>Contrato com SLA, dono interno, plano de saída, conciliação de dados (caso Corretora Digital).</t>
  </si>
  <si>
    <t>Sample Med para DPS (F10); troca de fornecedor de assistência RE (F07); Corretora Digital com dados divergentes (IN-08)</t>
  </si>
  <si>
    <t>Paliativo com retaguarda humana</t>
  </si>
  <si>
    <t>Quando a solução definitiva demora anos e o negócio não pode esperar.</t>
  </si>
  <si>
    <t>Não se aplica.</t>
  </si>
  <si>
    <t>Quando o paliativo vira permanente sem ninguém saber.</t>
  </si>
  <si>
    <t>Data de revisão obrigatória; custo humano medido; registrado na fila como estacionado.</t>
  </si>
  <si>
    <t>Links no pós-venda para cross-sell (F09); dados de sinistro manuais da atuária (F15); prestamista com retaguarda humana (F11)</t>
  </si>
  <si>
    <t>Gente de fora</t>
  </si>
  <si>
    <t>Quando falta método, neutralidade ou expertise que não vale internalizar.</t>
  </si>
  <si>
    <t>Consultoria, research, ressegurador, faculdade, mentor externo.</t>
  </si>
  <si>
    <t>Quando o problema é decisão interna travada (fora não resolve alçada).</t>
  </si>
  <si>
    <t>Escopo, entregável, transferência de conhecimento ao time; dono interno nomeado.</t>
  </si>
  <si>
    <t>Linea (F12); Hugo/UX (F19); Faculdade Unimed (F03); FDC para OKR (F19, F21)</t>
  </si>
  <si>
    <t>Guia 4. Proposta: desenho de concepção de soluções, da estratégia à entrega</t>
  </si>
  <si>
    <t>Pipeline com gates. Cada etapa diz o que entra, o que sai, quem é dono, em que rito acontece e qual critério libera a próxima etapa. Coluna final liga ao sintoma que a etapa corrige.</t>
  </si>
  <si>
    <t>Objetivo</t>
  </si>
  <si>
    <t>Entrada</t>
  </si>
  <si>
    <t>Saída (artefato)</t>
  </si>
  <si>
    <t>Dono (papel)</t>
  </si>
  <si>
    <t>Rito onde acontece</t>
  </si>
  <si>
    <t>Gate (critério para passar)</t>
  </si>
  <si>
    <t>Sintomas que endereça</t>
  </si>
  <si>
    <t>0. Direção</t>
  </si>
  <si>
    <t>Traduzir Visão 2028 e PIE em poucos objetivos por esteira (Vida, RE) com KRs abertos por produto e canal.</t>
  </si>
  <si>
    <t>Visão 2028; A3; orçamento da Controladoria; diretrizes dos mentores.</t>
  </si>
  <si>
    <t>Mapa de objetivos por esteira (máx. 3 objetivos, 3 KRs cada); número-base oficial.</t>
  </si>
  <si>
    <t>Mentores e líderes de esteira</t>
  </si>
  <si>
    <t>PIE trimestral</t>
  </si>
  <si>
    <t>KRs reconciliados com a Controladoria; abertos por ramo e produto; assinados.</t>
  </si>
  <si>
    <t>GV-05; GV-01; OT-11</t>
  </si>
  <si>
    <t>1. Entrada e registro</t>
  </si>
  <si>
    <t>Capturar todo desafio em um único lugar com o mínimo de contexto.</t>
  </si>
  <si>
    <t>Dor, pedido, exigência ou oportunidade de qualquer origem.</t>
  </si>
  <si>
    <t>Ficha de demanda na fila única.</t>
  </si>
  <si>
    <t>Facilitadora (Estratégia)</t>
  </si>
  <si>
    <t>Contínuo</t>
  </si>
  <si>
    <t>Ficha completa (problema, quem sofre, evidência, prazo externo).</t>
  </si>
  <si>
    <t>OT-03; CO-08; OT-16</t>
  </si>
  <si>
    <t>2. Triagem</t>
  </si>
  <si>
    <t>Classificar (Estrutural, BAU, Adequação, Oportunidade) e pontuar relevância.</t>
  </si>
  <si>
    <t>Fichas novas.</t>
  </si>
  <si>
    <t>Ficha carimbada com tipo, nota e encaminhamento (esteira, sustentação, recusa, estacionamento).</t>
  </si>
  <si>
    <t>Time de triagem</t>
  </si>
  <si>
    <t>Quinzenal, 30 min</t>
  </si>
  <si>
    <t>Tipo definido; nota de relevância; BAU e Adequação já encaminhados.</t>
  </si>
  <si>
    <t>GV-06; IN-01; RE-05</t>
  </si>
  <si>
    <t>3. Enquadramento</t>
  </si>
  <si>
    <t>Entender a causa raiz e o valor antes de pensar em solução.</t>
  </si>
  <si>
    <t>Fichas relevantes (Estrutural e Oportunidade).</t>
  </si>
  <si>
    <t>Canvas de enquadramento: problema, causa, hipótese, valor, 'o que muda o ponteiro', dado disponível e faltante.</t>
  </si>
  <si>
    <t>Líder da esteira com Produtos</t>
  </si>
  <si>
    <t>Reunião semanal do GT (bloco de deliberação)</t>
  </si>
  <si>
    <t>Valor estimado; causa raiz aceita pelo grupo; limite de 5 abertos por esteira respeitado.</t>
  </si>
  <si>
    <t>IN-01; IN-04; IN-02</t>
  </si>
  <si>
    <t>4. Estudo</t>
  </si>
  <si>
    <t>Reduzir incerteza com o método certo e prazo curto.</t>
  </si>
  <si>
    <t>Canvas de enquadramento.</t>
  </si>
  <si>
    <t>Síntese do estudo (assessment, discovery, mercado ou decupagem) com recomendação.</t>
  </si>
  <si>
    <t>Dono do enquadramento; IM, TI, gente de fora</t>
  </si>
  <si>
    <t>Sala de estudo (fora do rito semanal)</t>
  </si>
  <si>
    <t>Prazo cumprido (4 a 8 semanas); recomendação escrita; dados citados.</t>
  </si>
  <si>
    <t>5. Concepção</t>
  </si>
  <si>
    <t>Gerar e comparar opções de solução, incluindo 'não fazer'.</t>
  </si>
  <si>
    <t>Síntese do estudo; decupagem da TI.</t>
  </si>
  <si>
    <t>Comparativo de opções (construir, comprar, parceiro, paliativo, não fazer) com valor, prazo, custo, risco e braço.</t>
  </si>
  <si>
    <t>Reunião de triângulo (mensal ou por demanda)</t>
  </si>
  <si>
    <t>Pelo menos duas opções; esforço de TI estimado; opção recomendada com porquê.</t>
  </si>
  <si>
    <t>CO-09; CO-10; OT-09; TE-05</t>
  </si>
  <si>
    <t>6. Decisão e priorização</t>
  </si>
  <si>
    <t>Decidir dentro da alçada e ordenar a fila com capacidade real.</t>
  </si>
  <si>
    <t>Comparativos de opções; capacidade disponível por esteira executora.</t>
  </si>
  <si>
    <t>Ata de decisão: opção, dono, prazo, braço alocado, indicador, patrocinador.</t>
  </si>
  <si>
    <t>Comitê unificado SUSEP; fórum de gestão para exceção; COMEX acima da alçada</t>
  </si>
  <si>
    <t>Comitê mensal; fórum mensal</t>
  </si>
  <si>
    <t>Alçada respeitada; braço alocado por nome; indicador definido; decisões acima da alçada sobem com recomendação única.</t>
  </si>
  <si>
    <t>GV-07; GV-02; GV-06; CO-01; OT-04</t>
  </si>
  <si>
    <t>7. Execução</t>
  </si>
  <si>
    <t>Entregar em ciclos curtos com núcleo fixo e proteção contra emergências.</t>
  </si>
  <si>
    <t>Ata de decisão; épicos.</t>
  </si>
  <si>
    <t>Incrementos quinzenais; quadro da squad; cota de sustentação separada.</t>
  </si>
  <si>
    <t>Líder da squad; TI</t>
  </si>
  <si>
    <t>Quinzenal (revisão da squad); sala de guerra para críticos</t>
  </si>
  <si>
    <t>Incremento demonstrado; desvios reportados ao comitê; emergências dentro da cota.</t>
  </si>
  <si>
    <t>CO-01; RE-08; OT-09; RE-09</t>
  </si>
  <si>
    <t>8. Entrega e adoção</t>
  </si>
  <si>
    <t>Colocar em produção com jornada completa e ponta preparada.</t>
  </si>
  <si>
    <t>Incremento pronto.</t>
  </si>
  <si>
    <t>Checklist de pronto: jornada ponta a ponta, comunicação ao comercial, FAQ e matriz de coberturas, validação da operação.</t>
  </si>
  <si>
    <t>Produtos e Operação</t>
  </si>
  <si>
    <t>Reunião semanal do GT (bloco de status, curto)</t>
  </si>
  <si>
    <t>Operação e ponta validaram; comunicação enviada; sustentação sabe.</t>
  </si>
  <si>
    <t>TE-03; OT-06; IN-03; IN-15; CO-05</t>
  </si>
  <si>
    <t>9. Medição</t>
  </si>
  <si>
    <t>Provar resultado, não só entrega.</t>
  </si>
  <si>
    <t>Entrega em produção; indicador definido na etapa 6.</t>
  </si>
  <si>
    <t>Leitura em 30 e 90 dias; registro de não-ganhos evitados; comparação com percepção da ponta.</t>
  </si>
  <si>
    <t>Fórum mensal</t>
  </si>
  <si>
    <t>Indicador lido; desvio explicado; decisão de ajustar, ampliar ou encerrar.</t>
  </si>
  <si>
    <t>GV-09; IN-04; IN-02; IN-10</t>
  </si>
  <si>
    <t>10. Aprendizado e encerramento</t>
  </si>
  <si>
    <t>Fechar o ciclo e alimentar o próximo PIE.</t>
  </si>
  <si>
    <t>Leituras de 90 dias; recusas e estacionados.</t>
  </si>
  <si>
    <t>Registro de encerramento (resolvido, recusado, estacionado com data); lições para o PIE.</t>
  </si>
  <si>
    <t>Facilitadora com líderes de esteira</t>
  </si>
  <si>
    <t>Toda demanda do ciclo com saída explícita; lições registradas.</t>
  </si>
  <si>
    <t>GV-09; GV-06; IN-16</t>
  </si>
  <si>
    <t>Regras do pipeline (poucas, explícitas, ligadas a um sintoma)</t>
  </si>
  <si>
    <t>Por quê (sintoma que evita)</t>
  </si>
  <si>
    <t>Como se verifica</t>
  </si>
  <si>
    <t>Sem ficha, não entra.</t>
  </si>
  <si>
    <t>OT-03; CO-08</t>
  </si>
  <si>
    <t>Fila única sem itens sem ficha.</t>
  </si>
  <si>
    <t>Sem tipo e nota, não vai a fórum.</t>
  </si>
  <si>
    <t>GV-06; IN-01</t>
  </si>
  <si>
    <t>Toda pauta de fórum cita tipo e nota.</t>
  </si>
  <si>
    <t>Máximo de 5 enquadramentos abertos e 3 estruturais em execução por esteira.</t>
  </si>
  <si>
    <t>GV-06; OT-04</t>
  </si>
  <si>
    <t>Contagem na fila.</t>
  </si>
  <si>
    <t>Decisão sem dono, prazo, braço e indicador não é decisão.</t>
  </si>
  <si>
    <t>GV-01; OT-16; GV-09</t>
  </si>
  <si>
    <t>Ata de decisão com os quatro campos.</t>
  </si>
  <si>
    <t>Emergência tem cota; não rouba fila de projeto sem o comitê.</t>
  </si>
  <si>
    <t>CO-01; RE-08</t>
  </si>
  <si>
    <t>Cota de sustentação registrada na TI.</t>
  </si>
  <si>
    <t>OT-06; TE-03; IN-03</t>
  </si>
  <si>
    <t>Checklist de pronto assinado.</t>
  </si>
  <si>
    <t>Insumos de fórum até 48h antes; sem insumo, o tema sai da pauta.</t>
  </si>
  <si>
    <t>CO-04; GV-03</t>
  </si>
  <si>
    <t>Data de envio na fila.</t>
  </si>
  <si>
    <t>Toda demanda sai por Resolvido, Recusado ou Estacionado com data.</t>
  </si>
  <si>
    <t>Zero itens sem status de saída ao fim do ciclo.</t>
  </si>
  <si>
    <t>Ofertas e canais novos exigem consentimento técnico registrado.</t>
  </si>
  <si>
    <t>GV-08; CO-05</t>
  </si>
  <si>
    <t>Assinatura da esteira na ficha da oferta.</t>
  </si>
  <si>
    <t>Não se troca a ferramenta de gestão sem migrar o histórico.</t>
  </si>
  <si>
    <t>Série histórica contínua no painel.</t>
  </si>
  <si>
    <t>Guia 5. Blueprint organizacional: governança, times, dinâmicas e fluxo</t>
  </si>
  <si>
    <t>Hoje = como as fontes descrevem. Proposta = desenho a validar com o time. Sintomas em IDs.</t>
  </si>
  <si>
    <t>A. Governança: fóruns, mandatos e alçadas</t>
  </si>
  <si>
    <t>Fórum</t>
  </si>
  <si>
    <t>Cadência</t>
  </si>
  <si>
    <t>Participantes</t>
  </si>
  <si>
    <t>Hoje (evidência)</t>
  </si>
  <si>
    <t>Mandato proposto (decide o quê)</t>
  </si>
  <si>
    <t>Alçada proposta</t>
  </si>
  <si>
    <t>Saída</t>
  </si>
  <si>
    <t>Sintomas</t>
  </si>
  <si>
    <t>Reunião semanal do GT (por esteira)</t>
  </si>
  <si>
    <t>Semanal, 1h30, alternando Vida e RE ou blocos de 45 min</t>
  </si>
  <si>
    <t>Núcleo do GT; convidados por pauta</t>
  </si>
  <si>
    <t>Checkpoint semanal misto; status 80/20; sem pauta às vezes; engajamento só na reunião; liderança rotativa desde jun/26 (F14)</t>
  </si>
  <si>
    <t>Deliberar sobre enquadramentos, aceitar entregas, tratar impedimentos. Status vira leitura prévia.</t>
  </si>
  <si>
    <t>Decide tudo que não envolve orçamento novo, política comercial ou mudança de escopo de TI.</t>
  </si>
  <si>
    <t>Insumos enviados 48h antes; fila única</t>
  </si>
  <si>
    <t>Decisões com dono e prazo; impedimentos escalados</t>
  </si>
  <si>
    <t>OT-16; OT-01; RE-05; OT-11</t>
  </si>
  <si>
    <t>Triagem de demanda</t>
  </si>
  <si>
    <t>Time de triagem (Guia 3)</t>
  </si>
  <si>
    <t>Não existe; demandas caem na semanal ou no mentor</t>
  </si>
  <si>
    <t>Classificar, pontuar, encaminhar ou recusar demandas.</t>
  </si>
  <si>
    <t>Recusa e estacionamento de demandas; encaminhamento a BAU e Adequação.</t>
  </si>
  <si>
    <t>Fichas novas</t>
  </si>
  <si>
    <t>Fichas carimbadas</t>
  </si>
  <si>
    <t>GV-06; IN-01; OT-03</t>
  </si>
  <si>
    <t>Comitê unificado SUSEP (priorização)</t>
  </si>
  <si>
    <t>Mensal, 1h</t>
  </si>
  <si>
    <t>Líderes de esteira, Produtos, TI, Processos/VMO, IM, Estratégia; mentor convidado</t>
  </si>
  <si>
    <t>MVP de comitê de priorização (F13); fórum unificado proposto em ago/26 (F20); pulverizado entre Frente, S&amp;OP e Diagnóstico Comercial</t>
  </si>
  <si>
    <t>Ordenar a fila de estruturais e oportunidades contra a capacidade real das esteiras executoras; decidir opções de solução dentro da alçada.</t>
  </si>
  <si>
    <t>Até o limite de capacidade já alocada à SUSEP; acima disso, recomenda ao fórum.</t>
  </si>
  <si>
    <t>Comparativos de opções; capacidade disponível</t>
  </si>
  <si>
    <t>Ata de decisão (dono, prazo, braço, indicador)</t>
  </si>
  <si>
    <t>GV-06; CO-08; CO-01; GV-02</t>
  </si>
  <si>
    <t>Fórum de Gestão Estratégica</t>
  </si>
  <si>
    <t>Mensal, 1h (hoje às vezes reduzido)</t>
  </si>
  <si>
    <t>Diretoria executiva, mentores, líderes de frente</t>
  </si>
  <si>
    <t>Apresenta ações e pontos de atenção; preparado para evitar questionamentos; adiado por agenda (F05, F14, F24)</t>
  </si>
  <si>
    <t>Deliberar sobre o que excede a alçada do comitê; remover barreiras; validar gaps de meta.</t>
  </si>
  <si>
    <t>Orçamento, política comercial, prioridade entre negócios (Saúde x SUSEP).</t>
  </si>
  <si>
    <t>Recomendação única do comitê; leitura de indicadores</t>
  </si>
  <si>
    <t>Deliberações registradas; barreiras removidas</t>
  </si>
  <si>
    <t>GV-03; GV-10; GV-07; GV-05</t>
  </si>
  <si>
    <t>Mentoria (superintendentes)</t>
  </si>
  <si>
    <t>Mensal, mínimo 1h por tema denso</t>
  </si>
  <si>
    <t>Mentores (Aguiar, Lara, Alex) e núcleo do GT</t>
  </si>
  <si>
    <t>Agendas de 30 min, férias sem suplente, temas esperando meses (F13, F18, F20)</t>
  </si>
  <si>
    <t>Enquadrar causa raiz, remover barreiras, patrocinar estruturais.</t>
  </si>
  <si>
    <t>Patrocínio e arbitragem com outras áreas (Marketing, TI).</t>
  </si>
  <si>
    <t>Temas com enquadramento e opções</t>
  </si>
  <si>
    <t>Patrocínio nomeado; diretriz com dono e prazo</t>
  </si>
  <si>
    <t>GV-10; GV-01; GV-02</t>
  </si>
  <si>
    <t>PIE (planejamento integrado)</t>
  </si>
  <si>
    <t>Trimestral, meio dia</t>
  </si>
  <si>
    <t>Frente, mentores, áreas convidadas</t>
  </si>
  <si>
    <t>Existe e funciona; metas não abertas por produto; iniciativas do 3º e 4º tri vazias (F01)</t>
  </si>
  <si>
    <t>Fechar ciclo (saídas explícitas), definir objetivos e KRs por esteira, alocar capacidade do trimestre.</t>
  </si>
  <si>
    <t>Metas e capacidade do trimestre.</t>
  </si>
  <si>
    <t>Lições do ciclo; leitura de 90 dias</t>
  </si>
  <si>
    <t>Mapa de objetivos e capacidade alocada</t>
  </si>
  <si>
    <t>GV-05; GV-09; OT-04</t>
  </si>
  <si>
    <t>RDS / COMEX</t>
  </si>
  <si>
    <t>Conforme governança corporativa</t>
  </si>
  <si>
    <t>Diretoria e superintendentes</t>
  </si>
  <si>
    <t>Destino de escalações (prestamista, esgotamento, meios de pagamento)</t>
  </si>
  <si>
    <t>Decidir o que muda política da companhia ou envolve mais de um negócio.</t>
  </si>
  <si>
    <t>Acima do fórum.</t>
  </si>
  <si>
    <t>Recomendação do fórum</t>
  </si>
  <si>
    <t>Decisão corporativa</t>
  </si>
  <si>
    <t>GV-02; GV-07</t>
  </si>
  <si>
    <t>B. Times: missão, composição e dedicação</t>
  </si>
  <si>
    <t>Time</t>
  </si>
  <si>
    <t>Missão</t>
  </si>
  <si>
    <t>Composição (proposta, a partir de quem já atua)</t>
  </si>
  <si>
    <t>Dedicação</t>
  </si>
  <si>
    <t>Dono</t>
  </si>
  <si>
    <t>Interfaces principais</t>
  </si>
  <si>
    <t>Esteira Vida</t>
  </si>
  <si>
    <t>Crescer e reter Vida (individual, grupo, prestamista) com aceitação fluida.</t>
  </si>
  <si>
    <t>Líder (Jacqueline), Subscrição (Aretha), Atuarial (Glace), Produtos (Tatiane), TI (Alessandra), Canais (Landi)</t>
  </si>
  <si>
    <t>Líder 40%; demais 10 a 20%</t>
  </si>
  <si>
    <t>Jacqueline</t>
  </si>
  <si>
    <t>Compliance e medicina (aceitação); Cadeia de Valor (churn); Marketing</t>
  </si>
  <si>
    <t>Misturada com RE no mesmo GT; separação prometida desde março (F13)</t>
  </si>
  <si>
    <t>OT-11; CO-02; OT-02</t>
  </si>
  <si>
    <t>Esteira RE</t>
  </si>
  <si>
    <t>Crescer RE com resultado técnico (sinistro, resseguro) e canal corretor competitivo.</t>
  </si>
  <si>
    <t>Líder (Alan), Atuarial (Glace), Produtos (Tatiane), Sinistro (Daniel), TI, Canais</t>
  </si>
  <si>
    <t>Alan</t>
  </si>
  <si>
    <t>Resseguro; Controladoria (orçamento de sinistro); corretores e assessorias</t>
  </si>
  <si>
    <t>Idem; RE 'encaminhado' e acima da meta (F04, F07)</t>
  </si>
  <si>
    <t>OT-11; RE-06; GV-07</t>
  </si>
  <si>
    <t>Ver Guia 3.</t>
  </si>
  <si>
    <t>Facilitadora + donos de esteira + Produtos + Atuarial + TI + IM + Canais + VMO</t>
  </si>
  <si>
    <t>Fabíola</t>
  </si>
  <si>
    <t>Comitê unificado; esteiras executoras</t>
  </si>
  <si>
    <t>Não existe</t>
  </si>
  <si>
    <t>GV-06; OT-03</t>
  </si>
  <si>
    <t>Squad SUSEP (núcleo fixo)</t>
  </si>
  <si>
    <t>Executar estruturais priorizados com capacidade protegida.</t>
  </si>
  <si>
    <t>2 a 3 devs ou analistas de TI, 1 de Processos, 1 de Dados (BGA), + volantes de Negócio, Comercial e Produtos</t>
  </si>
  <si>
    <t>Núcleo 100%; volantes por entrega</t>
  </si>
  <si>
    <t>TI (Alessandra) com líder de esteira</t>
  </si>
  <si>
    <t>Comitê unificado; sustentação</t>
  </si>
  <si>
    <t>Squad de Vida desenhada em jun/26 (F12) com núcleo de processos; sem TI dedicada (F22)</t>
  </si>
  <si>
    <t>RE-08; OT-09; CO-01; OT-04</t>
  </si>
  <si>
    <t>Sustentação (BAU)</t>
  </si>
  <si>
    <t>Manter sistemas, dados e filas operacionais funcionando com SLA.</t>
  </si>
  <si>
    <t>TI sustentação + Operação; cota de capacidade</t>
  </si>
  <si>
    <t>Cota fixa (ex.: 20% da TI)</t>
  </si>
  <si>
    <t>Operação (Alan/Aretha)</t>
  </si>
  <si>
    <t>Squad (reincidência vira estrutural)</t>
  </si>
  <si>
    <t>Emergências roubam projeto (F22); BI fora do ar (F18)</t>
  </si>
  <si>
    <t>IN-12; CO-07; CO-01</t>
  </si>
  <si>
    <t>Canal Cooperativas</t>
  </si>
  <si>
    <t>Escalar produção com esteira sem fricção e integrações.</t>
  </si>
  <si>
    <t>Landi + Vivian + Camila + executivos regionais; suplente nomeado</t>
  </si>
  <si>
    <t>Landi 50%</t>
  </si>
  <si>
    <t>Landi</t>
  </si>
  <si>
    <t>Unicred, Cresol, Sicredi; TI (APIs); Atuarial</t>
  </si>
  <si>
    <t>Canal maduro e em resultado (F17); Hub depende de Landi (F14)</t>
  </si>
  <si>
    <t>RE-09; TE-08; OT-14</t>
  </si>
  <si>
    <t>Canal Unimed</t>
  </si>
  <si>
    <t>Recuperar ritmo com guarda-chuva comercial único e proposta de valor.</t>
  </si>
  <si>
    <t>Dono único (Landi por diretriz do mentor) + Operação (Aretha) + Produtos</t>
  </si>
  <si>
    <t>Dono 30%</t>
  </si>
  <si>
    <t>Landi (por diretriz de Aguiar, F17)</t>
  </si>
  <si>
    <t>Singulares, escritórios regionais, Faculdade Unimed</t>
  </si>
  <si>
    <t>Pulverizado entre áreas; sobreposição de contatos (F02, F17); corretoras cativas (F22)</t>
  </si>
  <si>
    <t>OT-12; OT-13</t>
  </si>
  <si>
    <t>Squad de Corretores (transversal)</t>
  </si>
  <si>
    <t>Onboarding nacional, segmentação, retenção e relacionamento.</t>
  </si>
  <si>
    <t>Marketing (Bruno) + Estratégia Comercial + UX research + Operação</t>
  </si>
  <si>
    <t>Por iniciativa</t>
  </si>
  <si>
    <t>Fabíola com Bruno (F21)</t>
  </si>
  <si>
    <t>Esteiras Vida e RE; Corretora Digital; assessorias</t>
  </si>
  <si>
    <t>Existe desde ago/26 (F21); pesquisa de churn inconclusa (F24)</t>
  </si>
  <si>
    <t>IN-05; RE-03; RE-02</t>
  </si>
  <si>
    <t>Inteligência e dados</t>
  </si>
  <si>
    <t>Dar dado tratado por canal, produto e concorrente com periodicidade.</t>
  </si>
  <si>
    <t>IM (Daniel, Amanda) + BGA (governança de dados) + Estratégia (Caio, radar)</t>
  </si>
  <si>
    <t>IM</t>
  </si>
  <si>
    <t>Controladoria; Atuarial; esteiras</t>
  </si>
  <si>
    <t>Radares paralelos (F15); RGS não integrado (F15); dados escassos (F02, F11, F12)</t>
  </si>
  <si>
    <t>IN-06; IN-13; IN-14; CO-06; TE-10</t>
  </si>
  <si>
    <t>C. Dinâmicas e ritos (cadência proposta)</t>
  </si>
  <si>
    <t>Rito</t>
  </si>
  <si>
    <t>Duração</t>
  </si>
  <si>
    <t>Regra de funcionamento</t>
  </si>
  <si>
    <t>Substitui ou corrige o quê (hoje)</t>
  </si>
  <si>
    <t>Semanal</t>
  </si>
  <si>
    <t>Deliberação da esteira (Vida ou RE alternados, ou dois blocos)</t>
  </si>
  <si>
    <t>1h30</t>
  </si>
  <si>
    <t>Decidir sobre enquadramentos, aceitar entregas, remover impedimentos.</t>
  </si>
  <si>
    <t>Pauta e resultado esperado no convite; status lido antes; liderança rotativa; sem gravação, ata como registro.</t>
  </si>
  <si>
    <t>Checkpoint misto de status (80/20) sem pauta (F12, F21)</t>
  </si>
  <si>
    <t>OT-01; OT-16; RE-05</t>
  </si>
  <si>
    <t>Quinzenal</t>
  </si>
  <si>
    <t>30 min</t>
  </si>
  <si>
    <t>Classificar e pontuar demandas.</t>
  </si>
  <si>
    <t>Só o time de triagem; ausência tem suplente.</t>
  </si>
  <si>
    <t>Revisão da squad</t>
  </si>
  <si>
    <t>45 min</t>
  </si>
  <si>
    <t>Demonstrar incremento e reportar desvio.</t>
  </si>
  <si>
    <t>Demonstração, não slide.</t>
  </si>
  <si>
    <t>Acompanhamento por ferramenta de gestão (Stratws/Jira) com % genérico (F14)</t>
  </si>
  <si>
    <t>GV-09; CO-01</t>
  </si>
  <si>
    <t>Mensal</t>
  </si>
  <si>
    <t>Comitê unificado SUSEP</t>
  </si>
  <si>
    <t>1h</t>
  </si>
  <si>
    <t>Ordenar a fila contra capacidade; decidir dentro da alçada.</t>
  </si>
  <si>
    <t>Capacidade das esteiras executoras apresentada em números; decisão com dono, prazo, braço, indicador.</t>
  </si>
  <si>
    <t>Fórum de priorização MVP; planilhas coletivas (F13, F15, F16)</t>
  </si>
  <si>
    <t>GV-06; CO-08</t>
  </si>
  <si>
    <t>Fórum de Gestão Estratégica + mentoria</t>
  </si>
  <si>
    <t>1h + 1h por tema denso</t>
  </si>
  <si>
    <t>Deliberar exceções; remover barreiras; ler indicadores.</t>
  </si>
  <si>
    <t>Insumos 48h antes; recomendação única; deliberações registradas.</t>
  </si>
  <si>
    <t>Fóruns adiados, curtos ou preparados para evitar perguntas (F05, F13, F24)</t>
  </si>
  <si>
    <t>GV-03; GV-10</t>
  </si>
  <si>
    <t>Por tema</t>
  </si>
  <si>
    <t>Sala de guerra</t>
  </si>
  <si>
    <t>2 a 6 semanas, 2 encontros por semana</t>
  </si>
  <si>
    <t>Resolver poucos temas críticos até o fim (ex.: esgotamento de comissão, prestamista, DPS).</t>
  </si>
  <si>
    <t>Máximo de 2 temas simultâneos; patrocinador presente no início e no fim.</t>
  </si>
  <si>
    <t>Proposto em F20 ('sala de guerra para solucionar poucas pautas por vez')</t>
  </si>
  <si>
    <t>GV-07; CO-03; TE-06</t>
  </si>
  <si>
    <t>Trimestral</t>
  </si>
  <si>
    <t>PIE</t>
  </si>
  <si>
    <t>Meio dia, presencial</t>
  </si>
  <si>
    <t>Fechar ciclo com saídas explícitas; definir KRs e capacidade do trimestre.</t>
  </si>
  <si>
    <t>Metas abertas por esteira e produto; capacidade alocada por nome.</t>
  </si>
  <si>
    <t>PIE existe; 3º e 4º tri sem iniciativas (F01)</t>
  </si>
  <si>
    <t>Semestral</t>
  </si>
  <si>
    <t>Leitura conjunta dado e ponta</t>
  </si>
  <si>
    <t>2h</t>
  </si>
  <si>
    <t>Confrontar percepção dos gerentes comerciais com números (recusas, preço, churn).</t>
  </si>
  <si>
    <t>Dados abertos antes; gerentes presentes.</t>
  </si>
  <si>
    <t>Reunião pontual de alinhamento de recusas (F23)</t>
  </si>
  <si>
    <t>IN-02; OT-08</t>
  </si>
  <si>
    <t>D. Fluxo (do desafio à saída), em raias</t>
  </si>
  <si>
    <t>Leitura horizontal: cada raia mostra o que faz em cada etapa. Vazio = não participa.</t>
  </si>
  <si>
    <t>Raia</t>
  </si>
  <si>
    <t>Triagem</t>
  </si>
  <si>
    <t>Enquadramento</t>
  </si>
  <si>
    <t>Estudo</t>
  </si>
  <si>
    <t>Concepção</t>
  </si>
  <si>
    <t>Execução</t>
  </si>
  <si>
    <t>Entrega</t>
  </si>
  <si>
    <t>Medição</t>
  </si>
  <si>
    <t>Quem tem a dor (ponta, área, parceiro)</t>
  </si>
  <si>
    <t>Preenche a ficha</t>
  </si>
  <si>
    <t>É ouvido</t>
  </si>
  <si>
    <t>Participa de discovery</t>
  </si>
  <si>
    <t>Valida a entrega</t>
  </si>
  <si>
    <t>Dá feedback</t>
  </si>
  <si>
    <t>Recebe o status final</t>
  </si>
  <si>
    <t>Recebe e registra</t>
  </si>
  <si>
    <t>Convoca e registra</t>
  </si>
  <si>
    <t>Guarda o limite de 5</t>
  </si>
  <si>
    <t>Acompanha prazo</t>
  </si>
  <si>
    <t>Prepara recomendação única</t>
  </si>
  <si>
    <t>Mede</t>
  </si>
  <si>
    <t>Registra encerramento</t>
  </si>
  <si>
    <t>Classifica, pontua, encaminha</t>
  </si>
  <si>
    <t>Recusa e estaciona</t>
  </si>
  <si>
    <t>Líder da esteira (Vida ou RE)</t>
  </si>
  <si>
    <t>Julga relevância</t>
  </si>
  <si>
    <t>Enquadra com Produtos</t>
  </si>
  <si>
    <t>É dono do estudo</t>
  </si>
  <si>
    <t>Compara opções</t>
  </si>
  <si>
    <t>Defende no comitê</t>
  </si>
  <si>
    <t>Acompanha a squad</t>
  </si>
  <si>
    <t>Aceita a entrega</t>
  </si>
  <si>
    <t>Responde pelo indicador</t>
  </si>
  <si>
    <t>Produtos, Atuarial, TI (triângulo)</t>
  </si>
  <si>
    <t>Opina</t>
  </si>
  <si>
    <t>Apoia</t>
  </si>
  <si>
    <t>Decupa escopo, olha mercado</t>
  </si>
  <si>
    <t>Gera opções e estima</t>
  </si>
  <si>
    <t>Executa (TI) e especifica (Produtos)</t>
  </si>
  <si>
    <t>Decide dentro da alçada</t>
  </si>
  <si>
    <t>Protege a cota</t>
  </si>
  <si>
    <t>Lê indicadores</t>
  </si>
  <si>
    <t>Homologa a saída</t>
  </si>
  <si>
    <t>Fórum e mentores</t>
  </si>
  <si>
    <t>Patrocinam estudo se preciso</t>
  </si>
  <si>
    <t>Decidem exceções; removem barreiras</t>
  </si>
  <si>
    <t>Cobram resultado</t>
  </si>
  <si>
    <t>Recebe BAU direto da triagem</t>
  </si>
  <si>
    <t>Corrige com SLA</t>
  </si>
  <si>
    <t>Mede recorrência</t>
  </si>
  <si>
    <t>Fecha ou escala</t>
  </si>
  <si>
    <t>Guia 6. Criar com o time, para o time: sessões de co-criação e como medir se o design funcionou</t>
  </si>
  <si>
    <t>Sequência de sessões curtas para o próprio GT validar e ajustar os Guias 1 a 5. Cada sessão parte dos sintomas (espelho) e termina com uma decisão registrada.</t>
  </si>
  <si>
    <t>Sessão</t>
  </si>
  <si>
    <t>Pergunta central</t>
  </si>
  <si>
    <t>Insumo (aba do Excel)</t>
  </si>
  <si>
    <t>Quem participa</t>
  </si>
  <si>
    <t>Dinâmica</t>
  </si>
  <si>
    <t>Entregável da sessão</t>
  </si>
  <si>
    <t>Sintomas em foco</t>
  </si>
  <si>
    <t>1. Espelho</t>
  </si>
  <si>
    <t>O que deste diagnóstico é verdade, o que falta, o que está errado?</t>
  </si>
  <si>
    <t>Sintomas; Resumo; Taxonomia</t>
  </si>
  <si>
    <t>Núcleo do GT (Vida e RE) + facilitadora</t>
  </si>
  <si>
    <t>2h presencial</t>
  </si>
  <si>
    <t>Cada um marca 5 sintomas que mais doem e 3 que discorda; discussão por categoria; votação de prioridade.</t>
  </si>
  <si>
    <t>Lista validada de sintomas prioritários (top 10) e correções ao diagnóstico.</t>
  </si>
  <si>
    <t>Todos</t>
  </si>
  <si>
    <t>2. Fluxo da demanda</t>
  </si>
  <si>
    <t>Como um desafio entra hoje e como deveria sair?</t>
  </si>
  <si>
    <t>Guia 2; Guia 3</t>
  </si>
  <si>
    <t>GT + TI + Processos/VMO + IM</t>
  </si>
  <si>
    <t>3h presencial</t>
  </si>
  <si>
    <t>Mapear 3 casos reais de 2026 (esgotamento de comissão, prestamista, BI fora do ar) no fluxo atual; redesenhar no fluxo proposto; calibrar pesos dos critérios.</t>
  </si>
  <si>
    <t>Fluxo to-be aprovado; tipologia e critérios calibrados; ficha de demanda definida.</t>
  </si>
  <si>
    <t>GV-06; CO-08; IN-01; OT-03</t>
  </si>
  <si>
    <t>3. Alçadas e ritos</t>
  </si>
  <si>
    <t>O que o GT decide sozinho, o que sobe, e em que rito?</t>
  </si>
  <si>
    <t>Guia 5 A e C; Guia 4 regras</t>
  </si>
  <si>
    <t>GT + mentores (Aguiar, Lara, Alex)</t>
  </si>
  <si>
    <t>Tabela de alçadas preenchida ao vivo com os casos travados de 2024 a 2026; calendário anual de ritos com prioridade formal.</t>
  </si>
  <si>
    <t>Tabela de alçadas assinada; calendário de ritos; regras do pipeline aceitas.</t>
  </si>
  <si>
    <t>GV-07; GV-02; GV-10; RE-04</t>
  </si>
  <si>
    <t>4. Times e dedicação</t>
  </si>
  <si>
    <t>Quem faz o quê, com quantas horas, e o que sai da rotina?</t>
  </si>
  <si>
    <t>Guia 5 B; Guia 3 (time de triagem)</t>
  </si>
  <si>
    <t>GT + superintendentes das áreas envolvidas + RH</t>
  </si>
  <si>
    <t>Cada membro declara horas reais disponíveis; comparação com a dedicação proposta; negociação do que sai da rotina; suplentes nomeados.</t>
  </si>
  <si>
    <t>Matriz de dedicação por pessoa; suplentes; pedido formal de squad com núcleo fixo.</t>
  </si>
  <si>
    <t>OT-04; OT-05; RE-08; RE-09; OT-16</t>
  </si>
  <si>
    <t>5. Medição de sucesso</t>
  </si>
  <si>
    <t>Como saberemos em 90 dias que funcionou?</t>
  </si>
  <si>
    <t>Bloco de indicadores abaixo</t>
  </si>
  <si>
    <t>GT + Estratégia + Controladoria</t>
  </si>
  <si>
    <t>Escolher no máximo 8 indicadores; definir baseline com dados atuais; definir meta de 90 dias.</t>
  </si>
  <si>
    <t>Painel do design com baseline e meta.</t>
  </si>
  <si>
    <t>GV-09; IN-04; GV-05</t>
  </si>
  <si>
    <t>6. Piloto e regras</t>
  </si>
  <si>
    <t>Por onde começamos, com quais regras, e quando revisamos?</t>
  </si>
  <si>
    <t>Guia 4; Guia 5 D</t>
  </si>
  <si>
    <t>GT completo</t>
  </si>
  <si>
    <t>Escolher 1 esteira (sugestão: Vida, por ter mais dor) e 2 temas de sala de guerra; aprovar as 10 regras; marcar revisão em 90 dias.</t>
  </si>
  <si>
    <t>Plano de piloto de 90 dias; regras publicadas; data de revisão.</t>
  </si>
  <si>
    <t>OT-11; GV-07; CO-02</t>
  </si>
  <si>
    <t>Como medir sucesso do novo desenho (indicadores do design, não do negócio)</t>
  </si>
  <si>
    <t>Baseline e meta em azul: preencher na sessão 5. A fonte da baseline indica onde o dado já existe ou o que precisa ser levantado.</t>
  </si>
  <si>
    <t>Indicador</t>
  </si>
  <si>
    <t>O que mede</t>
  </si>
  <si>
    <t>Sintoma que responde</t>
  </si>
  <si>
    <t>Onde obter a baseline (fontes)</t>
  </si>
  <si>
    <t>Baseline (preencher)</t>
  </si>
  <si>
    <t>Meta 90 dias (preencher)</t>
  </si>
  <si>
    <t>Frequência</t>
  </si>
  <si>
    <t>Lead time da demanda</t>
  </si>
  <si>
    <t>Dias da ficha até a decisão (e até a saída).</t>
  </si>
  <si>
    <t>GV-06; GV-02; GV-07</t>
  </si>
  <si>
    <t>Reconstruir com 3 casos de 2026 a partir das atas (esgotamento: mai a ago/26; prestamista: 2024 a jan/27).</t>
  </si>
  <si>
    <t>% de decisões dentro do GT ou comitê</t>
  </si>
  <si>
    <t>Quantas decisões não precisaram subir.</t>
  </si>
  <si>
    <t>Contar escalações nas atas de mar a ago/26.</t>
  </si>
  <si>
    <t>% de decisões com dono, prazo, braço e indicador</t>
  </si>
  <si>
    <t>Qualidade da decisão.</t>
  </si>
  <si>
    <t>Auditar tarefas das atas: muitas com prazo 'a definir'.</t>
  </si>
  <si>
    <t>Quórum e regularidade dos ritos</t>
  </si>
  <si>
    <t>% de ritos realizados com quórum mínimo.</t>
  </si>
  <si>
    <t>RE-04; GV-10</t>
  </si>
  <si>
    <t>Atas com 'falta de quórum' (F06) e fóruns adiados (F14, F24).</t>
  </si>
  <si>
    <t>Tarefas concluídas entre reuniões</t>
  </si>
  <si>
    <t>% de tarefas fechadas no prazo antes da reunião seguinte.</t>
  </si>
  <si>
    <t>Comparar 'Pendente' recorrente nas atas.</t>
  </si>
  <si>
    <t>Capacidade protegida da SUSEP na TI</t>
  </si>
  <si>
    <t>Horas ou pessoas alocadas vs. planejadas; nº de trocas por emergência.</t>
  </si>
  <si>
    <t>CO-01; RE-08; OT-09</t>
  </si>
  <si>
    <t>TI (Alessandra) e fila do Jira.</t>
  </si>
  <si>
    <t>Demandas sem saída explícita</t>
  </si>
  <si>
    <t>Itens sem status Resolvido, Recusado ou Estacionado ao fim do ciclo.</t>
  </si>
  <si>
    <t>Estacionamento de ideias (F09) e itens encerrados administrativamente (F14).</t>
  </si>
  <si>
    <t>Não-ganhos registrados</t>
  </si>
  <si>
    <t>R$ e nº de negócios perdidos por limitação, registrados na fila.</t>
  </si>
  <si>
    <t>Não existe hoje (F12); começar do zero.</t>
  </si>
  <si>
    <t>Tempo médio de aceitação no Vida e pendências &gt; 40 dias</t>
  </si>
  <si>
    <t>Fluidez da esteira que a ponta sente.</t>
  </si>
  <si>
    <t>CO-02; OT-02; GV-04</t>
  </si>
  <si>
    <t>Dados de recusas apresentados em F23 (22% ligados a aceitação médica e documentos).</t>
  </si>
  <si>
    <t>Convergência ponta x dado</t>
  </si>
  <si>
    <t>Diferença entre causa apontada pelos gerentes e causa medida.</t>
  </si>
  <si>
    <t>Reunião de alinhamento de recusas (F23).</t>
  </si>
  <si>
    <t>Código</t>
  </si>
  <si>
    <t>Data</t>
  </si>
  <si>
    <t>Fonte (título original)</t>
  </si>
  <si>
    <t>F01</t>
  </si>
  <si>
    <t>1° PIE Vida e RE - Planejamento Integrado Estratégico (deck de slides; conteúdo lido a partir das imagens)</t>
  </si>
  <si>
    <t>Ata - Checkpoint semanal GT Susep Vida e RE</t>
  </si>
  <si>
    <t>F03</t>
  </si>
  <si>
    <t>Ata - Checkpoint com mentores e alinhamento PIE 2026</t>
  </si>
  <si>
    <t>F04</t>
  </si>
  <si>
    <t>02 a 06/04/2026</t>
  </si>
  <si>
    <t>Ata de troca de mensagens - Desempenho RE e estratégia Vida/Cooperativas</t>
  </si>
  <si>
    <t>Ata - Checkpoint semanal (reprecificação, motores, coberturas, fórum)</t>
  </si>
  <si>
    <t>F06</t>
  </si>
  <si>
    <t>Ata - Checkpoint semanal e alinhamento de iniciativas</t>
  </si>
  <si>
    <t>F07</t>
  </si>
  <si>
    <t>Ata - Fórum de Gestão Estratégica (mentores)</t>
  </si>
  <si>
    <t>F08</t>
  </si>
  <si>
    <t>Ata - Fórum de Gestão Estratégica (mentores) [duplicata de F07]</t>
  </si>
  <si>
    <t>F09</t>
  </si>
  <si>
    <t>Ata - 1º PIE 2026 Frente Vida e RE</t>
  </si>
  <si>
    <t>F10</t>
  </si>
  <si>
    <t>Ata - Checkpoint semanal (Nova Lei, DPS, IM)</t>
  </si>
  <si>
    <t>Ata - Hub de Cooperativas, S&amp;OP x RDS, compliance</t>
  </si>
  <si>
    <t>F12</t>
  </si>
  <si>
    <t>Ata [presencial] - GT + Consultoria Linea (diagnóstico do mapa estratégico)</t>
  </si>
  <si>
    <t>Ata - Conexões estratégicas e alinhamento de diagnósticos</t>
  </si>
  <si>
    <t>F14</t>
  </si>
  <si>
    <t>Ata - Jacqueline x Fabíola (engajamento, canais, Estratos)</t>
  </si>
  <si>
    <t>Ata - Fórum de priorização, Radar, El Niño, canais, SPFC</t>
  </si>
  <si>
    <t>Ata - Corretora Digital, Coopday, Hub</t>
  </si>
  <si>
    <t>F17</t>
  </si>
  <si>
    <t>Ata - Canais, Unicred prestamista, preparação do fórum</t>
  </si>
  <si>
    <t>Ata - Diagnóstico de corretores, precificação x aceitação, meta 20%</t>
  </si>
  <si>
    <t>F19</t>
  </si>
  <si>
    <t>Ata - Espaço Corretor / Hub de apoio (research UX)</t>
  </si>
  <si>
    <t>F20</t>
  </si>
  <si>
    <t>Ata - OKRs, capacidade operacional, fórum unificado, tarifas</t>
  </si>
  <si>
    <t>Ata - OKR, squad de corretores, cross-sell, boas práticas de reunião</t>
  </si>
  <si>
    <t>Ata - Capacidade, renovações Calcule+, churn, comissão, canais, TI</t>
  </si>
  <si>
    <t>F23</t>
  </si>
  <si>
    <t>Ata - Reunião com mentores (esgotamento de comissão, aceitação Vida)</t>
  </si>
  <si>
    <t>F24</t>
  </si>
  <si>
    <t>27 e 28/07/2026</t>
  </si>
  <si>
    <t>Ata - Meta 20%, abertura por produto, sinistros climáticos, corretora SAD</t>
  </si>
  <si>
    <t>Notebook: https://notebook.google.com/notebook/ede3f19c-4ce2-4ccf-a50c-ddcfd4d96e95 (conta eric.leite.cs@segurosunimed.com.br)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</si>
</sst>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11" x14ac:knownFonts="1">
    <font>
      <sz val="11"/>
      <color theme="1"/>
      <name val="Calibri"/>
      <family val="2"/>
      <scheme val="minor"/>
    </font>
    <font>
      <b/>
      <sz val="9"/>
      <name val="Arial"/>
    </font>
    <font>
      <sz val="9"/>
      <name val="Arial"/>
    </font>
    <font>
      <b/>
      <sz val="10"/>
      <color rgb="FFFFFFFF"/>
      <name val="Arial"/>
    </font>
    <font>
      <i/>
      <sz val="8"/>
      <name val="Arial"/>
    </font>
    <font>
      <b/>
      <sz val="12"/>
      <color rgb="FF1F3864"/>
      <name val="Arial"/>
    </font>
    <font>
      <i/>
      <sz val="8"/>
      <color rgb="FF595959"/>
      <name val="Arial"/>
    </font>
    <font>
      <sz val="9"/>
      <color rgb="FF0000FF"/>
      <name val="Arial"/>
    </font>
    <font>
      <b/>
      <sz val="10"/>
      <color rgb="FFFFFFFF"/>
      <name val="Arial"/>
    </font>
    <font>
      <sz val="9"/>
      <color rgb="FF808080"/>
      <name val="Arial"/>
    </font>
    <font>
      <i/>
      <sz val="8"/>
      <color rgb="FF595959"/>
      <name val="Arial"/>
    </font>
  </fonts>
  <fills count="10">
    <fill>
      <patternFill patternType="none"/>
    </fill>
    <fill>
      <patternFill patternType="gray125"/>
    </fill>
    <fill>
      <patternFill patternType="solid">
        <fgColor rgb="FF1F3864"/>
      </patternFill>
    </fill>
    <fill>
      <patternFill patternType="solid">
        <fgColor rgb="FFDDEBF7"/>
      </patternFill>
    </fill>
    <fill>
      <patternFill patternType="solid">
        <fgColor rgb="FFFCE4D6"/>
      </patternFill>
    </fill>
    <fill>
      <patternFill patternType="solid">
        <fgColor rgb="FFE2EFDA"/>
      </patternFill>
    </fill>
    <fill>
      <patternFill patternType="solid">
        <fgColor rgb="FFFFF2CC"/>
      </patternFill>
    </fill>
    <fill>
      <patternFill patternType="solid">
        <fgColor rgb="FFEDEDED"/>
      </patternFill>
    </fill>
    <fill>
      <patternFill patternType="solid">
        <fgColor rgb="FFE4DFEC"/>
      </patternFill>
    </fill>
    <fill>
      <patternFill patternType="solid">
        <fgColor rgb="FF1F3864"/>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7">
    <xf numFmtId="0" fontId="0" fillId="0" borderId="0" xfId="0"/>
    <xf numFmtId="0" fontId="1" fillId="0" borderId="1" xfId="0" applyFont="1" applyBorder="1" applyAlignment="1">
      <alignment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2" fillId="0" borderId="1" xfId="0" applyFont="1" applyBorder="1" applyAlignment="1">
      <alignment horizontal="center"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vertical="top" wrapText="1"/>
    </xf>
    <xf numFmtId="0" fontId="2" fillId="5" borderId="1" xfId="0" applyFont="1" applyFill="1" applyBorder="1" applyAlignment="1">
      <alignment horizontal="center" vertical="top" wrapText="1"/>
    </xf>
    <xf numFmtId="0" fontId="2" fillId="5" borderId="1" xfId="0" applyFont="1" applyFill="1" applyBorder="1" applyAlignment="1">
      <alignment vertical="top" wrapText="1"/>
    </xf>
    <xf numFmtId="0" fontId="2" fillId="6" borderId="1" xfId="0" applyFont="1" applyFill="1" applyBorder="1" applyAlignment="1">
      <alignment horizontal="center" vertical="top" wrapText="1"/>
    </xf>
    <xf numFmtId="0" fontId="2" fillId="6" borderId="1" xfId="0" applyFont="1" applyFill="1" applyBorder="1" applyAlignment="1">
      <alignment vertical="top" wrapText="1"/>
    </xf>
    <xf numFmtId="0" fontId="2" fillId="7" borderId="1" xfId="0" applyFont="1" applyFill="1" applyBorder="1" applyAlignment="1">
      <alignment horizontal="center" vertical="top" wrapText="1"/>
    </xf>
    <xf numFmtId="0" fontId="2" fillId="7" borderId="1" xfId="0" applyFont="1" applyFill="1" applyBorder="1" applyAlignment="1">
      <alignment vertical="top" wrapText="1"/>
    </xf>
    <xf numFmtId="0" fontId="2" fillId="8" borderId="1" xfId="0" applyFont="1" applyFill="1" applyBorder="1" applyAlignment="1">
      <alignment horizontal="center" vertical="top" wrapText="1"/>
    </xf>
    <xf numFmtId="0" fontId="2" fillId="8" borderId="1" xfId="0" applyFont="1" applyFill="1" applyBorder="1" applyAlignment="1">
      <alignment vertical="top" wrapText="1"/>
    </xf>
    <xf numFmtId="0" fontId="2" fillId="3" borderId="1" xfId="0" applyFont="1" applyFill="1" applyBorder="1"/>
    <xf numFmtId="164" fontId="2" fillId="0" borderId="1" xfId="0" applyNumberFormat="1" applyFont="1" applyBorder="1" applyAlignment="1">
      <alignment horizontal="center" vertical="top" wrapText="1"/>
    </xf>
    <xf numFmtId="0" fontId="2" fillId="4" borderId="1" xfId="0" applyFont="1" applyFill="1" applyBorder="1"/>
    <xf numFmtId="0" fontId="2" fillId="5" borderId="1" xfId="0" applyFont="1" applyFill="1" applyBorder="1"/>
    <xf numFmtId="0" fontId="2" fillId="6" borderId="1" xfId="0" applyFont="1" applyFill="1" applyBorder="1"/>
    <xf numFmtId="0" fontId="2" fillId="7" borderId="1" xfId="0" applyFont="1" applyFill="1" applyBorder="1"/>
    <xf numFmtId="0" fontId="2" fillId="8" borderId="1" xfId="0" applyFont="1" applyFill="1" applyBorder="1"/>
    <xf numFmtId="0" fontId="1" fillId="0" borderId="1" xfId="0" applyFont="1" applyBorder="1"/>
    <xf numFmtId="0" fontId="1" fillId="0" borderId="1" xfId="0" applyFont="1" applyBorder="1" applyAlignment="1">
      <alignment horizontal="center" vertical="top" wrapText="1"/>
    </xf>
    <xf numFmtId="164" fontId="1" fillId="0" borderId="1" xfId="0" applyNumberFormat="1" applyFont="1" applyBorder="1" applyAlignment="1">
      <alignment horizontal="center" vertical="top" wrapText="1"/>
    </xf>
    <xf numFmtId="0" fontId="1" fillId="0" borderId="0" xfId="0" applyFont="1"/>
    <xf numFmtId="0" fontId="4" fillId="0" borderId="0" xfId="0" applyFont="1"/>
    <xf numFmtId="0" fontId="2" fillId="0" borderId="1" xfId="0" applyFont="1" applyBorder="1"/>
    <xf numFmtId="0" fontId="5" fillId="0" borderId="0" xfId="0" applyFont="1"/>
    <xf numFmtId="0" fontId="6" fillId="0" borderId="0" xfId="0" applyFont="1"/>
    <xf numFmtId="0" fontId="2" fillId="0" borderId="0" xfId="0" applyFont="1"/>
    <xf numFmtId="0" fontId="7" fillId="0" borderId="1" xfId="0" applyFont="1" applyBorder="1" applyAlignment="1">
      <alignment horizontal="center" vertical="top" wrapText="1"/>
    </xf>
    <xf numFmtId="9" fontId="0" fillId="0" borderId="1" xfId="0" applyNumberFormat="1" applyBorder="1" applyAlignment="1">
      <alignment vertical="top" wrapText="1"/>
    </xf>
    <xf numFmtId="0" fontId="7" fillId="0" borderId="1" xfId="0" applyFont="1" applyBorder="1" applyAlignment="1">
      <alignment vertical="top" wrapText="1"/>
    </xf>
    <xf numFmtId="0" fontId="7" fillId="0" borderId="1" xfId="0" applyFont="1" applyBorder="1"/>
    <xf numFmtId="9" fontId="0" fillId="0" borderId="1" xfId="0" applyNumberFormat="1" applyBorder="1"/>
    <xf numFmtId="0" fontId="0" fillId="0" borderId="1" xfId="0" applyBorder="1"/>
    <xf numFmtId="0" fontId="1" fillId="6" borderId="1" xfId="0" applyFont="1" applyFill="1" applyBorder="1" applyAlignment="1">
      <alignment vertical="top" wrapText="1"/>
    </xf>
    <xf numFmtId="0" fontId="7" fillId="6" borderId="1" xfId="0" applyFont="1" applyFill="1" applyBorder="1" applyAlignment="1">
      <alignment vertical="top" wrapText="1"/>
    </xf>
    <xf numFmtId="0" fontId="8" fillId="9" borderId="3" xfId="0" applyFont="1" applyFill="1" applyBorder="1" applyAlignment="1">
      <alignment horizontal="center" vertical="top" wrapText="1"/>
    </xf>
    <xf numFmtId="165" fontId="9" fillId="0" borderId="3" xfId="0" applyNumberFormat="1" applyFont="1" applyBorder="1"/>
    <xf numFmtId="0" fontId="2" fillId="0" borderId="1" xfId="0" applyFont="1" applyBorder="1" applyAlignment="1">
      <alignment vertical="top" wrapText="1"/>
    </xf>
    <xf numFmtId="0" fontId="3" fillId="2" borderId="1" xfId="0" applyFont="1" applyFill="1" applyBorder="1" applyAlignment="1">
      <alignment horizontal="center" vertical="top" wrapText="1"/>
    </xf>
    <xf numFmtId="0" fontId="10" fillId="0" borderId="0" xfId="0" applyFont="1"/>
    <xf numFmtId="0" fontId="2" fillId="0" borderId="3" xfId="0" applyFont="1" applyBorder="1" applyAlignment="1">
      <alignment vertical="top" wrapText="1"/>
    </xf>
    <xf numFmtId="0" fontId="0" fillId="0" borderId="2" xfId="0" applyBorder="1"/>
    <xf numFmtId="0" fontId="3" fillId="2" borderId="3"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tabSelected="1" workbookViewId="0"/>
  </sheetViews>
  <sheetFormatPr defaultRowHeight="15" x14ac:dyDescent="0.25"/>
  <cols>
    <col min="1" max="1" width="26" customWidth="1"/>
    <col min="2" max="2" width="110" customWidth="1"/>
  </cols>
  <sheetData>
    <row r="1" spans="1:2" ht="15" customHeight="1" x14ac:dyDescent="0.25">
      <c r="A1" s="1" t="s">
        <v>0</v>
      </c>
      <c r="B1" s="41" t="s">
        <v>1</v>
      </c>
    </row>
    <row r="2" spans="1:2" ht="30" customHeight="1" x14ac:dyDescent="0.25">
      <c r="A2" s="1" t="s">
        <v>2</v>
      </c>
      <c r="B2" s="41" t="s">
        <v>3</v>
      </c>
    </row>
    <row r="3" spans="1:2" ht="15" customHeight="1" x14ac:dyDescent="0.25">
      <c r="A3" s="1" t="s">
        <v>4</v>
      </c>
      <c r="B3" s="41" t="s">
        <v>5</v>
      </c>
    </row>
    <row r="4" spans="1:2" ht="45" customHeight="1" x14ac:dyDescent="0.25">
      <c r="A4" s="1" t="s">
        <v>6</v>
      </c>
      <c r="B4" s="41" t="s">
        <v>7</v>
      </c>
    </row>
    <row r="5" spans="1:2" ht="45" customHeight="1" x14ac:dyDescent="0.25">
      <c r="A5" s="1" t="s">
        <v>8</v>
      </c>
      <c r="B5" s="41" t="s">
        <v>9</v>
      </c>
    </row>
    <row r="6" spans="1:2" ht="45" customHeight="1" x14ac:dyDescent="0.25">
      <c r="A6" s="1" t="s">
        <v>10</v>
      </c>
      <c r="B6" s="41" t="s">
        <v>11</v>
      </c>
    </row>
    <row r="7" spans="1:2" ht="45" customHeight="1" x14ac:dyDescent="0.25">
      <c r="A7" s="1" t="s">
        <v>12</v>
      </c>
      <c r="B7" s="41" t="s">
        <v>13</v>
      </c>
    </row>
    <row r="8" spans="1:2" ht="45" customHeight="1" x14ac:dyDescent="0.25">
      <c r="A8" s="1" t="s">
        <v>14</v>
      </c>
      <c r="B8" s="41" t="s">
        <v>15</v>
      </c>
    </row>
    <row r="9" spans="1:2" ht="30" customHeight="1" x14ac:dyDescent="0.25">
      <c r="A9" s="1" t="s">
        <v>16</v>
      </c>
      <c r="B9" s="41" t="s">
        <v>17</v>
      </c>
    </row>
    <row r="10" spans="1:2" ht="60" customHeight="1" x14ac:dyDescent="0.25">
      <c r="A10" s="1" t="s">
        <v>18</v>
      </c>
      <c r="B10" s="41" t="s">
        <v>19</v>
      </c>
    </row>
    <row r="11" spans="1:2" ht="30" customHeight="1" x14ac:dyDescent="0.25">
      <c r="A11" s="1" t="s">
        <v>20</v>
      </c>
      <c r="B11" s="41" t="s">
        <v>21</v>
      </c>
    </row>
    <row r="12" spans="1:2" ht="90" customHeight="1" x14ac:dyDescent="0.25">
      <c r="A12" s="1" t="s">
        <v>22</v>
      </c>
      <c r="B12" s="41" t="s">
        <v>23</v>
      </c>
    </row>
    <row r="13" spans="1:2" ht="45" customHeight="1" x14ac:dyDescent="0.25">
      <c r="A13" s="1" t="s">
        <v>24</v>
      </c>
      <c r="B13" s="41" t="s">
        <v>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3"/>
  <sheetViews>
    <sheetView workbookViewId="0"/>
  </sheetViews>
  <sheetFormatPr defaultRowHeight="15" x14ac:dyDescent="0.25"/>
  <cols>
    <col min="1" max="1" width="28" customWidth="1"/>
    <col min="2" max="2" width="14" customWidth="1"/>
    <col min="3" max="3" width="12" customWidth="1"/>
    <col min="4" max="4" width="16" customWidth="1"/>
    <col min="5" max="5" width="18" customWidth="1"/>
  </cols>
  <sheetData>
    <row r="1" spans="1:5" ht="25.5" customHeight="1" x14ac:dyDescent="0.25">
      <c r="A1" s="42" t="s">
        <v>26</v>
      </c>
      <c r="B1" s="42" t="s">
        <v>27</v>
      </c>
      <c r="C1" s="42" t="s">
        <v>28</v>
      </c>
      <c r="D1" s="42" t="s">
        <v>29</v>
      </c>
      <c r="E1" s="42" t="s">
        <v>30</v>
      </c>
    </row>
    <row r="2" spans="1:5" x14ac:dyDescent="0.25">
      <c r="A2" s="15" t="s">
        <v>31</v>
      </c>
      <c r="B2" s="4">
        <f>COUNTIF(Sintomas!$B$2:$B$73,A2)</f>
        <v>16</v>
      </c>
      <c r="C2" s="16">
        <f t="shared" ref="C2:C7" si="0">IF($B$8=0,0,B2/$B$8)</f>
        <v>0.22222222222222221</v>
      </c>
      <c r="D2" s="4">
        <f>COUNTIFS(Sintomas!$B$2:$B$73,A2,Sintomas!$N$2:$N$73,"Direta")</f>
        <v>15</v>
      </c>
      <c r="E2" s="4">
        <f>COUNTIFS(Sintomas!$B$2:$B$73,A2,Sintomas!$N$2:$N$73,"Inferida")</f>
        <v>1</v>
      </c>
    </row>
    <row r="3" spans="1:5" x14ac:dyDescent="0.25">
      <c r="A3" s="17" t="s">
        <v>32</v>
      </c>
      <c r="B3" s="4">
        <f>COUNTIF(Sintomas!$B$2:$B$73,A3)</f>
        <v>10</v>
      </c>
      <c r="C3" s="16">
        <f t="shared" si="0"/>
        <v>0.1388888888888889</v>
      </c>
      <c r="D3" s="4">
        <f>COUNTIFS(Sintomas!$B$2:$B$73,A3,Sintomas!$N$2:$N$73,"Direta")</f>
        <v>9</v>
      </c>
      <c r="E3" s="4">
        <f>COUNTIFS(Sintomas!$B$2:$B$73,A3,Sintomas!$N$2:$N$73,"Inferida")</f>
        <v>1</v>
      </c>
    </row>
    <row r="4" spans="1:5" x14ac:dyDescent="0.25">
      <c r="A4" s="18" t="s">
        <v>33</v>
      </c>
      <c r="B4" s="4">
        <f>COUNTIF(Sintomas!$B$2:$B$73,A4)</f>
        <v>10</v>
      </c>
      <c r="C4" s="16">
        <f t="shared" si="0"/>
        <v>0.1388888888888889</v>
      </c>
      <c r="D4" s="4">
        <f>COUNTIFS(Sintomas!$B$2:$B$73,A4,Sintomas!$N$2:$N$73,"Direta")</f>
        <v>10</v>
      </c>
      <c r="E4" s="4">
        <f>COUNTIFS(Sintomas!$B$2:$B$73,A4,Sintomas!$N$2:$N$73,"Inferida")</f>
        <v>0</v>
      </c>
    </row>
    <row r="5" spans="1:5" x14ac:dyDescent="0.25">
      <c r="A5" s="19" t="s">
        <v>34</v>
      </c>
      <c r="B5" s="4">
        <f>COUNTIF(Sintomas!$B$2:$B$73,A5)</f>
        <v>16</v>
      </c>
      <c r="C5" s="16">
        <f t="shared" si="0"/>
        <v>0.22222222222222221</v>
      </c>
      <c r="D5" s="4">
        <f>COUNTIFS(Sintomas!$B$2:$B$73,A5,Sintomas!$N$2:$N$73,"Direta")</f>
        <v>16</v>
      </c>
      <c r="E5" s="4">
        <f>COUNTIFS(Sintomas!$B$2:$B$73,A5,Sintomas!$N$2:$N$73,"Inferida")</f>
        <v>0</v>
      </c>
    </row>
    <row r="6" spans="1:5" x14ac:dyDescent="0.25">
      <c r="A6" s="20" t="s">
        <v>35</v>
      </c>
      <c r="B6" s="4">
        <f>COUNTIF(Sintomas!$B$2:$B$73,A6)</f>
        <v>9</v>
      </c>
      <c r="C6" s="16">
        <f t="shared" si="0"/>
        <v>0.125</v>
      </c>
      <c r="D6" s="4">
        <f>COUNTIFS(Sintomas!$B$2:$B$73,A6,Sintomas!$N$2:$N$73,"Direta")</f>
        <v>9</v>
      </c>
      <c r="E6" s="4">
        <f>COUNTIFS(Sintomas!$B$2:$B$73,A6,Sintomas!$N$2:$N$73,"Inferida")</f>
        <v>0</v>
      </c>
    </row>
    <row r="7" spans="1:5" x14ac:dyDescent="0.25">
      <c r="A7" s="21" t="s">
        <v>36</v>
      </c>
      <c r="B7" s="4">
        <f>COUNTIF(Sintomas!$B$2:$B$73,A7)</f>
        <v>11</v>
      </c>
      <c r="C7" s="16">
        <f t="shared" si="0"/>
        <v>0.15277777777777779</v>
      </c>
      <c r="D7" s="4">
        <f>COUNTIFS(Sintomas!$B$2:$B$73,A7,Sintomas!$N$2:$N$73,"Direta")</f>
        <v>10</v>
      </c>
      <c r="E7" s="4">
        <f>COUNTIFS(Sintomas!$B$2:$B$73,A7,Sintomas!$N$2:$N$73,"Inferida")</f>
        <v>0</v>
      </c>
    </row>
    <row r="8" spans="1:5" x14ac:dyDescent="0.25">
      <c r="A8" s="22" t="s">
        <v>37</v>
      </c>
      <c r="B8" s="23">
        <f>SUM(B2:B7)</f>
        <v>72</v>
      </c>
      <c r="C8" s="24">
        <f>SUM(C2:C7)</f>
        <v>1</v>
      </c>
      <c r="D8" s="23">
        <f>SUM(D2:D7)</f>
        <v>69</v>
      </c>
      <c r="E8" s="23">
        <f>SUM(E2:E7)</f>
        <v>2</v>
      </c>
    </row>
    <row r="10" spans="1:5" x14ac:dyDescent="0.25">
      <c r="A10" s="25" t="s">
        <v>38</v>
      </c>
    </row>
    <row r="11" spans="1:5" x14ac:dyDescent="0.25">
      <c r="A11" s="42" t="s">
        <v>39</v>
      </c>
      <c r="B11" s="42" t="s">
        <v>40</v>
      </c>
      <c r="C11" s="42" t="s">
        <v>26</v>
      </c>
      <c r="D11" s="46" t="s">
        <v>41</v>
      </c>
      <c r="E11" s="45"/>
    </row>
    <row r="12" spans="1:5" x14ac:dyDescent="0.25">
      <c r="A12" s="41" t="str">
        <f>INDEX(Sintomas!$A$2:$A$73,MATCH(LARGE(Sintomas!$O$2:$O$73,1),Sintomas!$O$2:$O$73,0))</f>
        <v>RE-04</v>
      </c>
      <c r="B12" s="41">
        <f>INDEX(Sintomas!$J$2:$J$73,MATCH(LARGE(Sintomas!$O$2:$O$73,1),Sintomas!$O$2:$O$73,0))</f>
        <v>9</v>
      </c>
      <c r="C12" s="41" t="str">
        <f>INDEX(Sintomas!$B$2:$B$73,MATCH(LARGE(Sintomas!$O$2:$O$73,1),Sintomas!$O$2:$O$73,0))</f>
        <v>Recursos</v>
      </c>
      <c r="D12" s="44" t="str">
        <f>INDEX(Sintomas!$D$2:$D$73,MATCH(LARGE(Sintomas!$O$2:$O$73,1),Sintomas!$O$2:$O$73,0))</f>
        <v>Conflitos de agenda crônicos: falta de quórum, fóruns adiados, temas espremidos</v>
      </c>
      <c r="E12" s="45"/>
    </row>
    <row r="13" spans="1:5" x14ac:dyDescent="0.25">
      <c r="A13" s="41" t="str">
        <f>INDEX(Sintomas!$A$2:$A$73,MATCH(LARGE(Sintomas!$O$2:$O$73,2),Sintomas!$O$2:$O$73,0))</f>
        <v>OT-11</v>
      </c>
      <c r="B13" s="41">
        <f>INDEX(Sintomas!$J$2:$J$73,MATCH(LARGE(Sintomas!$O$2:$O$73,2),Sintomas!$O$2:$O$73,0))</f>
        <v>7</v>
      </c>
      <c r="C13" s="41" t="str">
        <f>INDEX(Sintomas!$B$2:$B$73,MATCH(LARGE(Sintomas!$O$2:$O$73,2),Sintomas!$O$2:$O$73,0))</f>
        <v>Organização do Trabalho</v>
      </c>
      <c r="D13" s="44" t="str">
        <f>INDEX(Sintomas!$D$2:$D$73,MATCH(LARGE(Sintomas!$O$2:$O$73,2),Sintomas!$O$2:$O$73,0))</f>
        <v>Vida e RE misturados no mesmo grupo, relatório e metas, gerando confusão estratégica</v>
      </c>
      <c r="E13" s="45"/>
    </row>
    <row r="14" spans="1:5" x14ac:dyDescent="0.25">
      <c r="A14" s="41" t="str">
        <f>INDEX(Sintomas!$A$2:$A$73,MATCH(LARGE(Sintomas!$O$2:$O$73,3),Sintomas!$O$2:$O$73,0))</f>
        <v>GV-10</v>
      </c>
      <c r="B14" s="41">
        <f>INDEX(Sintomas!$J$2:$J$73,MATCH(LARGE(Sintomas!$O$2:$O$73,3),Sintomas!$O$2:$O$73,0))</f>
        <v>7</v>
      </c>
      <c r="C14" s="41" t="str">
        <f>INDEX(Sintomas!$B$2:$B$73,MATCH(LARGE(Sintomas!$O$2:$O$73,3),Sintomas!$O$2:$O$73,0))</f>
        <v>Governança</v>
      </c>
      <c r="D14" s="44" t="str">
        <f>INDEX(Sintomas!$D$2:$D$73,MATCH(LARGE(Sintomas!$O$2:$O$73,3),Sintomas!$O$2:$O$73,0))</f>
        <v>Ritos de revisão com mentores comprimidos, adiados ou ausentes</v>
      </c>
      <c r="E14" s="45"/>
    </row>
    <row r="15" spans="1:5" x14ac:dyDescent="0.25">
      <c r="A15" s="41" t="str">
        <f>INDEX(Sintomas!$A$2:$A$73,MATCH(LARGE(Sintomas!$O$2:$O$73,4),Sintomas!$O$2:$O$73,0))</f>
        <v>OT-16</v>
      </c>
      <c r="B15" s="41">
        <f>INDEX(Sintomas!$J$2:$J$73,MATCH(LARGE(Sintomas!$O$2:$O$73,4),Sintomas!$O$2:$O$73,0))</f>
        <v>6</v>
      </c>
      <c r="C15" s="41" t="str">
        <f>INDEX(Sintomas!$B$2:$B$73,MATCH(LARGE(Sintomas!$O$2:$O$73,4),Sintomas!$O$2:$O$73,0))</f>
        <v>Organização do Trabalho</v>
      </c>
      <c r="D15" s="44" t="str">
        <f>INDEX(Sintomas!$D$2:$D$73,MATCH(LARGE(Sintomas!$O$2:$O$73,4),Sintomas!$O$2:$O$73,0))</f>
        <v>Engajamento só durante a reunião; sem avanço entre agendas e 'lições de casa' não feitas</v>
      </c>
      <c r="E15" s="45"/>
    </row>
    <row r="16" spans="1:5" x14ac:dyDescent="0.25">
      <c r="A16" s="41" t="str">
        <f>INDEX(Sintomas!$A$2:$A$73,MATCH(LARGE(Sintomas!$O$2:$O$73,5),Sintomas!$O$2:$O$73,0))</f>
        <v>GV-05</v>
      </c>
      <c r="B16" s="41">
        <f>INDEX(Sintomas!$J$2:$J$73,MATCH(LARGE(Sintomas!$O$2:$O$73,5),Sintomas!$O$2:$O$73,0))</f>
        <v>6</v>
      </c>
      <c r="C16" s="41" t="str">
        <f>INDEX(Sintomas!$B$2:$B$73,MATCH(LARGE(Sintomas!$O$2:$O$73,5),Sintomas!$O$2:$O$73,0))</f>
        <v>Governança</v>
      </c>
      <c r="D16" s="44" t="str">
        <f>INDEX(Sintomas!$D$2:$D$73,MATCH(LARGE(Sintomas!$O$2:$O$73,5),Sintomas!$O$2:$O$73,0))</f>
        <v>Meta de 20% sem base rastreável e divergente do orçamento da Controladoria</v>
      </c>
      <c r="E16" s="45"/>
    </row>
    <row r="17" spans="1:5" x14ac:dyDescent="0.25">
      <c r="A17" s="41" t="str">
        <f>INDEX(Sintomas!$A$2:$A$73,MATCH(LARGE(Sintomas!$O$2:$O$73,6),Sintomas!$O$2:$O$73,0))</f>
        <v>GV-06</v>
      </c>
      <c r="B17" s="41">
        <f>INDEX(Sintomas!$J$2:$J$73,MATCH(LARGE(Sintomas!$O$2:$O$73,6),Sintomas!$O$2:$O$73,0))</f>
        <v>5</v>
      </c>
      <c r="C17" s="41" t="str">
        <f>INDEX(Sintomas!$B$2:$B$73,MATCH(LARGE(Sintomas!$O$2:$O$73,6),Sintomas!$O$2:$O$73,0))</f>
        <v>Governança</v>
      </c>
      <c r="D17" s="44" t="str">
        <f>INDEX(Sintomas!$D$2:$D$73,MATCH(LARGE(Sintomas!$O$2:$O$73,6),Sintomas!$O$2:$O$73,0))</f>
        <v>Priorização difusa: 'focar em tudo resulta em não entregar nada'; comitê de priorização ainda como MVP</v>
      </c>
      <c r="E17" s="45"/>
    </row>
    <row r="18" spans="1:5" x14ac:dyDescent="0.25">
      <c r="A18" s="41" t="str">
        <f>INDEX(Sintomas!$A$2:$A$73,MATCH(LARGE(Sintomas!$O$2:$O$73,7),Sintomas!$O$2:$O$73,0))</f>
        <v>GV-09</v>
      </c>
      <c r="B18" s="41">
        <f>INDEX(Sintomas!$J$2:$J$73,MATCH(LARGE(Sintomas!$O$2:$O$73,7),Sintomas!$O$2:$O$73,0))</f>
        <v>5</v>
      </c>
      <c r="C18" s="41" t="str">
        <f>INDEX(Sintomas!$B$2:$B$73,MATCH(LARGE(Sintomas!$O$2:$O$73,7),Sintomas!$O$2:$O$73,0))</f>
        <v>Governança</v>
      </c>
      <c r="D18" s="44" t="str">
        <f>INDEX(Sintomas!$D$2:$D$73,MATCH(LARGE(Sintomas!$O$2:$O$73,7),Sintomas!$O$2:$O$73,0))</f>
        <v>Ferramenta de gestão trocada duas vezes em seis meses (Jira para Stratws em jan/26, Stratws para Jira em jun/26), zerando histórico</v>
      </c>
      <c r="E18" s="45"/>
    </row>
    <row r="19" spans="1:5" x14ac:dyDescent="0.25">
      <c r="A19" s="41" t="str">
        <f>INDEX(Sintomas!$A$2:$A$73,MATCH(LARGE(Sintomas!$O$2:$O$73,8),Sintomas!$O$2:$O$73,0))</f>
        <v>IN-14</v>
      </c>
      <c r="B19" s="41">
        <f>INDEX(Sintomas!$J$2:$J$73,MATCH(LARGE(Sintomas!$O$2:$O$73,8),Sintomas!$O$2:$O$73,0))</f>
        <v>5</v>
      </c>
      <c r="C19" s="41" t="str">
        <f>INDEX(Sintomas!$B$2:$B$73,MATCH(LARGE(Sintomas!$O$2:$O$73,8),Sintomas!$O$2:$O$73,0))</f>
        <v>Informação</v>
      </c>
      <c r="D19" s="44" t="str">
        <f>INDEX(Sintomas!$D$2:$D$73,MATCH(LARGE(Sintomas!$O$2:$O$73,8),Sintomas!$O$2:$O$73,0))</f>
        <v>Concorrência agressiva percebida tarde; radar de mercado ainda em construção</v>
      </c>
      <c r="E19" s="45"/>
    </row>
    <row r="20" spans="1:5" x14ac:dyDescent="0.25">
      <c r="A20" s="41" t="str">
        <f>INDEX(Sintomas!$A$2:$A$73,MATCH(LARGE(Sintomas!$O$2:$O$73,9),Sintomas!$O$2:$O$73,0))</f>
        <v>TE-08</v>
      </c>
      <c r="B20" s="41">
        <f>INDEX(Sintomas!$J$2:$J$73,MATCH(LARGE(Sintomas!$O$2:$O$73,9),Sintomas!$O$2:$O$73,0))</f>
        <v>5</v>
      </c>
      <c r="C20" s="41" t="str">
        <f>INDEX(Sintomas!$B$2:$B$73,MATCH(LARGE(Sintomas!$O$2:$O$73,9),Sintomas!$O$2:$O$73,0))</f>
        <v>Tecnologia</v>
      </c>
      <c r="D20" s="44" t="str">
        <f>INDEX(Sintomas!$D$2:$D$73,MATCH(LARGE(Sintomas!$O$2:$O$73,9),Sintomas!$O$2:$O$73,0))</f>
        <v>Falta de APIs e hub de integração para balcões, cooperativas e multicálculos</v>
      </c>
      <c r="E20" s="45"/>
    </row>
    <row r="21" spans="1:5" x14ac:dyDescent="0.25">
      <c r="A21" s="41" t="str">
        <f>INDEX(Sintomas!$A$2:$A$73,MATCH(LARGE(Sintomas!$O$2:$O$73,10),Sintomas!$O$2:$O$73,0))</f>
        <v>OT-02</v>
      </c>
      <c r="B21" s="41">
        <f>INDEX(Sintomas!$J$2:$J$73,MATCH(LARGE(Sintomas!$O$2:$O$73,10),Sintomas!$O$2:$O$73,0))</f>
        <v>4</v>
      </c>
      <c r="C21" s="41" t="str">
        <f>INDEX(Sintomas!$B$2:$B$73,MATCH(LARGE(Sintomas!$O$2:$O$73,10),Sintomas!$O$2:$O$73,0))</f>
        <v>Organização do Trabalho</v>
      </c>
      <c r="D21" s="44" t="str">
        <f>INDEX(Sintomas!$D$2:$D$73,MATCH(LARGE(Sintomas!$O$2:$O$73,10),Sintomas!$O$2:$O$73,0))</f>
        <v>Regras de aceitação médica e subscrição descoladas do mercado geram perda de negócios</v>
      </c>
      <c r="E21" s="45"/>
    </row>
    <row r="23" spans="1:5" x14ac:dyDescent="0.25">
      <c r="A23" s="26" t="s">
        <v>42</v>
      </c>
    </row>
  </sheetData>
  <mergeCells count="11">
    <mergeCell ref="D21:E21"/>
    <mergeCell ref="D20:E20"/>
    <mergeCell ref="D16:E16"/>
    <mergeCell ref="D15:E15"/>
    <mergeCell ref="D19:E19"/>
    <mergeCell ref="D11:E11"/>
    <mergeCell ref="D13:E13"/>
    <mergeCell ref="D14:E14"/>
    <mergeCell ref="D18:E18"/>
    <mergeCell ref="D17:E17"/>
    <mergeCell ref="D12:E1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3"/>
  <sheetViews>
    <sheetView workbookViewId="0">
      <pane xSplit="4" ySplit="1" topLeftCell="E2" activePane="bottomRight" state="frozen"/>
      <selection pane="topRight"/>
      <selection pane="bottomLeft"/>
      <selection pane="bottomRight"/>
    </sheetView>
  </sheetViews>
  <sheetFormatPr defaultRowHeight="15" x14ac:dyDescent="0.25"/>
  <cols>
    <col min="1" max="1" width="7" customWidth="1"/>
    <col min="2" max="2" width="20" customWidth="1"/>
    <col min="3" max="3" width="17" customWidth="1"/>
    <col min="4" max="4" width="36" customWidth="1"/>
    <col min="5" max="5" width="55" customWidth="1"/>
    <col min="6" max="6" width="48" customWidth="1"/>
    <col min="7" max="7" width="46" customWidth="1"/>
    <col min="8" max="8" width="60" customWidth="1"/>
    <col min="9" max="9" width="16" customWidth="1"/>
    <col min="10" max="10" width="9" customWidth="1"/>
    <col min="11" max="12" width="12" customWidth="1"/>
    <col min="13" max="13" width="20" customWidth="1"/>
    <col min="14" max="15" width="12" customWidth="1"/>
  </cols>
  <sheetData>
    <row r="1" spans="1:15" ht="25.5" customHeight="1" x14ac:dyDescent="0.25">
      <c r="A1" s="42" t="s">
        <v>39</v>
      </c>
      <c r="B1" s="42" t="s">
        <v>26</v>
      </c>
      <c r="C1" s="42" t="s">
        <v>43</v>
      </c>
      <c r="D1" s="42" t="s">
        <v>44</v>
      </c>
      <c r="E1" s="42" t="s">
        <v>45</v>
      </c>
      <c r="F1" s="42" t="s">
        <v>46</v>
      </c>
      <c r="G1" s="42" t="s">
        <v>47</v>
      </c>
      <c r="H1" s="42" t="s">
        <v>48</v>
      </c>
      <c r="I1" s="42" t="s">
        <v>49</v>
      </c>
      <c r="J1" s="42" t="s">
        <v>40</v>
      </c>
      <c r="K1" s="42" t="s">
        <v>50</v>
      </c>
      <c r="L1" s="42" t="s">
        <v>51</v>
      </c>
      <c r="M1" s="42" t="s">
        <v>52</v>
      </c>
      <c r="N1" s="42" t="s">
        <v>12</v>
      </c>
      <c r="O1" s="39" t="s">
        <v>53</v>
      </c>
    </row>
    <row r="2" spans="1:15" ht="75" customHeight="1" x14ac:dyDescent="0.25">
      <c r="A2" s="2" t="s">
        <v>54</v>
      </c>
      <c r="B2" s="3" t="s">
        <v>31</v>
      </c>
      <c r="C2" s="3" t="s">
        <v>55</v>
      </c>
      <c r="D2" s="1" t="s">
        <v>56</v>
      </c>
      <c r="E2" s="41" t="s">
        <v>57</v>
      </c>
      <c r="F2" s="41" t="s">
        <v>58</v>
      </c>
      <c r="G2" s="41" t="s">
        <v>59</v>
      </c>
      <c r="H2" s="41" t="s">
        <v>60</v>
      </c>
      <c r="I2" s="41" t="s">
        <v>61</v>
      </c>
      <c r="J2" s="4">
        <f t="shared" ref="J2:J33" si="0">LEN(I2)-LEN(SUBSTITUTE(I2,"F",""))</f>
        <v>2</v>
      </c>
      <c r="K2" s="4" t="s">
        <v>62</v>
      </c>
      <c r="L2" s="4" t="s">
        <v>63</v>
      </c>
      <c r="M2" s="41" t="s">
        <v>64</v>
      </c>
      <c r="N2" s="4" t="s">
        <v>65</v>
      </c>
      <c r="O2" s="40">
        <f t="shared" ref="O2:O33" si="1">J2+(1000-ROW())/100000</f>
        <v>2.0099800000000001</v>
      </c>
    </row>
    <row r="3" spans="1:15" ht="99.95" customHeight="1" x14ac:dyDescent="0.25">
      <c r="A3" s="2" t="s">
        <v>66</v>
      </c>
      <c r="B3" s="3" t="s">
        <v>31</v>
      </c>
      <c r="C3" s="3" t="s">
        <v>55</v>
      </c>
      <c r="D3" s="1" t="s">
        <v>67</v>
      </c>
      <c r="E3" s="41" t="s">
        <v>68</v>
      </c>
      <c r="F3" s="41" t="s">
        <v>69</v>
      </c>
      <c r="G3" s="41" t="s">
        <v>70</v>
      </c>
      <c r="H3" s="41" t="s">
        <v>71</v>
      </c>
      <c r="I3" s="41" t="s">
        <v>72</v>
      </c>
      <c r="J3" s="4">
        <f t="shared" si="0"/>
        <v>4</v>
      </c>
      <c r="K3" s="4" t="s">
        <v>73</v>
      </c>
      <c r="L3" s="4" t="s">
        <v>74</v>
      </c>
      <c r="M3" s="41" t="s">
        <v>75</v>
      </c>
      <c r="N3" s="4" t="s">
        <v>65</v>
      </c>
      <c r="O3" s="40">
        <f t="shared" si="1"/>
        <v>4.00997</v>
      </c>
    </row>
    <row r="4" spans="1:15" ht="87.6" customHeight="1" x14ac:dyDescent="0.25">
      <c r="A4" s="2" t="s">
        <v>76</v>
      </c>
      <c r="B4" s="3" t="s">
        <v>31</v>
      </c>
      <c r="C4" s="3" t="s">
        <v>77</v>
      </c>
      <c r="D4" s="1" t="s">
        <v>78</v>
      </c>
      <c r="E4" s="41" t="s">
        <v>79</v>
      </c>
      <c r="F4" s="41" t="s">
        <v>80</v>
      </c>
      <c r="G4" s="41" t="s">
        <v>81</v>
      </c>
      <c r="H4" s="41" t="s">
        <v>82</v>
      </c>
      <c r="I4" s="41" t="s">
        <v>83</v>
      </c>
      <c r="J4" s="4">
        <f t="shared" si="0"/>
        <v>1</v>
      </c>
      <c r="K4" s="4" t="s">
        <v>63</v>
      </c>
      <c r="L4" s="4" t="s">
        <v>63</v>
      </c>
      <c r="M4" s="41" t="s">
        <v>64</v>
      </c>
      <c r="N4" s="4" t="s">
        <v>65</v>
      </c>
      <c r="O4" s="40">
        <f t="shared" si="1"/>
        <v>1.00996</v>
      </c>
    </row>
    <row r="5" spans="1:15" ht="75" customHeight="1" x14ac:dyDescent="0.25">
      <c r="A5" s="2" t="s">
        <v>84</v>
      </c>
      <c r="B5" s="3" t="s">
        <v>31</v>
      </c>
      <c r="C5" s="3" t="s">
        <v>85</v>
      </c>
      <c r="D5" s="1" t="s">
        <v>86</v>
      </c>
      <c r="E5" s="41" t="s">
        <v>87</v>
      </c>
      <c r="F5" s="41" t="s">
        <v>88</v>
      </c>
      <c r="G5" s="41" t="s">
        <v>89</v>
      </c>
      <c r="H5" s="41" t="s">
        <v>90</v>
      </c>
      <c r="I5" s="41" t="s">
        <v>91</v>
      </c>
      <c r="J5" s="4">
        <f t="shared" si="0"/>
        <v>2</v>
      </c>
      <c r="K5" s="4" t="s">
        <v>92</v>
      </c>
      <c r="L5" s="4" t="s">
        <v>74</v>
      </c>
      <c r="M5" s="41" t="s">
        <v>64</v>
      </c>
      <c r="N5" s="4" t="s">
        <v>65</v>
      </c>
      <c r="O5" s="40">
        <f t="shared" si="1"/>
        <v>2.0099499999999999</v>
      </c>
    </row>
    <row r="6" spans="1:15" ht="87.6" customHeight="1" x14ac:dyDescent="0.25">
      <c r="A6" s="2" t="s">
        <v>93</v>
      </c>
      <c r="B6" s="3" t="s">
        <v>31</v>
      </c>
      <c r="C6" s="3" t="s">
        <v>85</v>
      </c>
      <c r="D6" s="1" t="s">
        <v>94</v>
      </c>
      <c r="E6" s="41" t="s">
        <v>95</v>
      </c>
      <c r="F6" s="41" t="s">
        <v>96</v>
      </c>
      <c r="G6" s="41" t="s">
        <v>97</v>
      </c>
      <c r="H6" s="41" t="s">
        <v>98</v>
      </c>
      <c r="I6" s="41" t="s">
        <v>99</v>
      </c>
      <c r="J6" s="4">
        <f t="shared" si="0"/>
        <v>3</v>
      </c>
      <c r="K6" s="4" t="s">
        <v>100</v>
      </c>
      <c r="L6" s="4" t="s">
        <v>101</v>
      </c>
      <c r="M6" s="41" t="s">
        <v>102</v>
      </c>
      <c r="N6" s="4" t="s">
        <v>65</v>
      </c>
      <c r="O6" s="40">
        <f t="shared" si="1"/>
        <v>3.0099399999999998</v>
      </c>
    </row>
    <row r="7" spans="1:15" ht="75" customHeight="1" x14ac:dyDescent="0.25">
      <c r="A7" s="2" t="s">
        <v>103</v>
      </c>
      <c r="B7" s="3" t="s">
        <v>31</v>
      </c>
      <c r="C7" s="3" t="s">
        <v>104</v>
      </c>
      <c r="D7" s="1" t="s">
        <v>105</v>
      </c>
      <c r="E7" s="41" t="s">
        <v>106</v>
      </c>
      <c r="F7" s="41" t="s">
        <v>107</v>
      </c>
      <c r="G7" s="41" t="s">
        <v>108</v>
      </c>
      <c r="H7" s="41" t="s">
        <v>109</v>
      </c>
      <c r="I7" s="41" t="s">
        <v>110</v>
      </c>
      <c r="J7" s="4">
        <f t="shared" si="0"/>
        <v>1</v>
      </c>
      <c r="K7" s="4" t="s">
        <v>74</v>
      </c>
      <c r="L7" s="4" t="s">
        <v>74</v>
      </c>
      <c r="M7" s="41" t="s">
        <v>111</v>
      </c>
      <c r="N7" s="4" t="s">
        <v>65</v>
      </c>
      <c r="O7" s="40">
        <f t="shared" si="1"/>
        <v>1.00993</v>
      </c>
    </row>
    <row r="8" spans="1:15" ht="87.6" customHeight="1" x14ac:dyDescent="0.25">
      <c r="A8" s="2" t="s">
        <v>112</v>
      </c>
      <c r="B8" s="3" t="s">
        <v>31</v>
      </c>
      <c r="C8" s="3" t="s">
        <v>113</v>
      </c>
      <c r="D8" s="1" t="s">
        <v>114</v>
      </c>
      <c r="E8" s="41" t="s">
        <v>115</v>
      </c>
      <c r="F8" s="41" t="s">
        <v>116</v>
      </c>
      <c r="G8" s="41" t="s">
        <v>117</v>
      </c>
      <c r="H8" s="41" t="s">
        <v>118</v>
      </c>
      <c r="I8" s="41" t="s">
        <v>119</v>
      </c>
      <c r="J8" s="4">
        <f t="shared" si="0"/>
        <v>1</v>
      </c>
      <c r="K8" s="4" t="s">
        <v>120</v>
      </c>
      <c r="L8" s="4" t="s">
        <v>120</v>
      </c>
      <c r="M8" s="41" t="s">
        <v>121</v>
      </c>
      <c r="N8" s="4" t="s">
        <v>65</v>
      </c>
      <c r="O8" s="40">
        <f t="shared" si="1"/>
        <v>1.0099199999999999</v>
      </c>
    </row>
    <row r="9" spans="1:15" ht="99.95" customHeight="1" x14ac:dyDescent="0.25">
      <c r="A9" s="2" t="s">
        <v>122</v>
      </c>
      <c r="B9" s="3" t="s">
        <v>31</v>
      </c>
      <c r="C9" s="3" t="s">
        <v>123</v>
      </c>
      <c r="D9" s="1" t="s">
        <v>124</v>
      </c>
      <c r="E9" s="41" t="s">
        <v>125</v>
      </c>
      <c r="F9" s="41" t="s">
        <v>126</v>
      </c>
      <c r="G9" s="41" t="s">
        <v>127</v>
      </c>
      <c r="H9" s="41" t="s">
        <v>128</v>
      </c>
      <c r="I9" s="41" t="s">
        <v>129</v>
      </c>
      <c r="J9" s="4">
        <f t="shared" si="0"/>
        <v>4</v>
      </c>
      <c r="K9" s="4" t="s">
        <v>101</v>
      </c>
      <c r="L9" s="4" t="s">
        <v>74</v>
      </c>
      <c r="M9" s="41" t="s">
        <v>130</v>
      </c>
      <c r="N9" s="4" t="s">
        <v>131</v>
      </c>
      <c r="O9" s="40">
        <f t="shared" si="1"/>
        <v>4.0099099999999996</v>
      </c>
    </row>
    <row r="10" spans="1:15" ht="99.95" customHeight="1" x14ac:dyDescent="0.25">
      <c r="A10" s="2" t="s">
        <v>132</v>
      </c>
      <c r="B10" s="3" t="s">
        <v>31</v>
      </c>
      <c r="C10" s="3" t="s">
        <v>133</v>
      </c>
      <c r="D10" s="1" t="s">
        <v>134</v>
      </c>
      <c r="E10" s="41" t="s">
        <v>135</v>
      </c>
      <c r="F10" s="41" t="s">
        <v>136</v>
      </c>
      <c r="G10" s="41" t="s">
        <v>137</v>
      </c>
      <c r="H10" s="41" t="s">
        <v>138</v>
      </c>
      <c r="I10" s="41" t="s">
        <v>139</v>
      </c>
      <c r="J10" s="4">
        <f t="shared" si="0"/>
        <v>4</v>
      </c>
      <c r="K10" s="4" t="s">
        <v>140</v>
      </c>
      <c r="L10" s="4" t="s">
        <v>74</v>
      </c>
      <c r="M10" s="41" t="s">
        <v>64</v>
      </c>
      <c r="N10" s="4" t="s">
        <v>65</v>
      </c>
      <c r="O10" s="40">
        <f t="shared" si="1"/>
        <v>4.0099</v>
      </c>
    </row>
    <row r="11" spans="1:15" ht="137.44999999999999" customHeight="1" x14ac:dyDescent="0.25">
      <c r="A11" s="2" t="s">
        <v>141</v>
      </c>
      <c r="B11" s="3" t="s">
        <v>31</v>
      </c>
      <c r="C11" s="3" t="s">
        <v>133</v>
      </c>
      <c r="D11" s="1" t="s">
        <v>142</v>
      </c>
      <c r="E11" s="41" t="s">
        <v>143</v>
      </c>
      <c r="F11" s="41" t="s">
        <v>144</v>
      </c>
      <c r="G11" s="41" t="s">
        <v>145</v>
      </c>
      <c r="H11" s="41" t="s">
        <v>146</v>
      </c>
      <c r="I11" s="41" t="s">
        <v>147</v>
      </c>
      <c r="J11" s="4">
        <f t="shared" si="0"/>
        <v>4</v>
      </c>
      <c r="K11" s="4" t="s">
        <v>148</v>
      </c>
      <c r="L11" s="4" t="s">
        <v>149</v>
      </c>
      <c r="M11" s="41" t="s">
        <v>150</v>
      </c>
      <c r="N11" s="4" t="s">
        <v>65</v>
      </c>
      <c r="O11" s="40">
        <f t="shared" si="1"/>
        <v>4.0098900000000004</v>
      </c>
    </row>
    <row r="12" spans="1:15" ht="174.95" customHeight="1" x14ac:dyDescent="0.25">
      <c r="A12" s="2" t="s">
        <v>151</v>
      </c>
      <c r="B12" s="3" t="s">
        <v>31</v>
      </c>
      <c r="C12" s="3" t="s">
        <v>152</v>
      </c>
      <c r="D12" s="1" t="s">
        <v>153</v>
      </c>
      <c r="E12" s="41" t="s">
        <v>154</v>
      </c>
      <c r="F12" s="41" t="s">
        <v>155</v>
      </c>
      <c r="G12" s="41" t="s">
        <v>156</v>
      </c>
      <c r="H12" s="41" t="s">
        <v>157</v>
      </c>
      <c r="I12" s="41" t="s">
        <v>158</v>
      </c>
      <c r="J12" s="4">
        <f t="shared" si="0"/>
        <v>7</v>
      </c>
      <c r="K12" s="4" t="s">
        <v>62</v>
      </c>
      <c r="L12" s="4" t="s">
        <v>159</v>
      </c>
      <c r="M12" s="41" t="s">
        <v>64</v>
      </c>
      <c r="N12" s="4" t="s">
        <v>65</v>
      </c>
      <c r="O12" s="40">
        <f t="shared" si="1"/>
        <v>7.0098799999999999</v>
      </c>
    </row>
    <row r="13" spans="1:15" ht="87.6" customHeight="1" x14ac:dyDescent="0.25">
      <c r="A13" s="2" t="s">
        <v>160</v>
      </c>
      <c r="B13" s="3" t="s">
        <v>31</v>
      </c>
      <c r="C13" s="3" t="s">
        <v>152</v>
      </c>
      <c r="D13" s="1" t="s">
        <v>161</v>
      </c>
      <c r="E13" s="41" t="s">
        <v>162</v>
      </c>
      <c r="F13" s="41" t="s">
        <v>163</v>
      </c>
      <c r="G13" s="41" t="s">
        <v>164</v>
      </c>
      <c r="H13" s="41" t="s">
        <v>165</v>
      </c>
      <c r="I13" s="41" t="s">
        <v>166</v>
      </c>
      <c r="J13" s="4">
        <f t="shared" si="0"/>
        <v>4</v>
      </c>
      <c r="K13" s="4" t="s">
        <v>62</v>
      </c>
      <c r="L13" s="4" t="s">
        <v>74</v>
      </c>
      <c r="M13" s="41" t="s">
        <v>167</v>
      </c>
      <c r="N13" s="4" t="s">
        <v>65</v>
      </c>
      <c r="O13" s="40">
        <f t="shared" si="1"/>
        <v>4.0098700000000003</v>
      </c>
    </row>
    <row r="14" spans="1:15" ht="112.5" customHeight="1" x14ac:dyDescent="0.25">
      <c r="A14" s="2" t="s">
        <v>168</v>
      </c>
      <c r="B14" s="3" t="s">
        <v>31</v>
      </c>
      <c r="C14" s="3" t="s">
        <v>169</v>
      </c>
      <c r="D14" s="1" t="s">
        <v>170</v>
      </c>
      <c r="E14" s="41" t="s">
        <v>171</v>
      </c>
      <c r="F14" s="41" t="s">
        <v>172</v>
      </c>
      <c r="G14" s="41" t="s">
        <v>173</v>
      </c>
      <c r="H14" s="41" t="s">
        <v>174</v>
      </c>
      <c r="I14" s="41" t="s">
        <v>175</v>
      </c>
      <c r="J14" s="4">
        <f t="shared" si="0"/>
        <v>4</v>
      </c>
      <c r="K14" s="4" t="s">
        <v>62</v>
      </c>
      <c r="L14" s="4" t="s">
        <v>63</v>
      </c>
      <c r="M14" s="41" t="s">
        <v>64</v>
      </c>
      <c r="N14" s="4" t="s">
        <v>65</v>
      </c>
      <c r="O14" s="40">
        <f t="shared" si="1"/>
        <v>4.0098599999999998</v>
      </c>
    </row>
    <row r="15" spans="1:15" ht="75" customHeight="1" x14ac:dyDescent="0.25">
      <c r="A15" s="2" t="s">
        <v>176</v>
      </c>
      <c r="B15" s="3" t="s">
        <v>31</v>
      </c>
      <c r="C15" s="3" t="s">
        <v>169</v>
      </c>
      <c r="D15" s="1" t="s">
        <v>177</v>
      </c>
      <c r="E15" s="41" t="s">
        <v>178</v>
      </c>
      <c r="F15" s="41" t="s">
        <v>179</v>
      </c>
      <c r="G15" s="41" t="s">
        <v>180</v>
      </c>
      <c r="H15" s="41" t="s">
        <v>181</v>
      </c>
      <c r="I15" s="41" t="s">
        <v>182</v>
      </c>
      <c r="J15" s="4">
        <f t="shared" si="0"/>
        <v>2</v>
      </c>
      <c r="K15" s="4" t="s">
        <v>183</v>
      </c>
      <c r="L15" s="4" t="s">
        <v>120</v>
      </c>
      <c r="M15" s="41" t="s">
        <v>121</v>
      </c>
      <c r="N15" s="4" t="s">
        <v>65</v>
      </c>
      <c r="O15" s="40">
        <f t="shared" si="1"/>
        <v>2.0098500000000001</v>
      </c>
    </row>
    <row r="16" spans="1:15" ht="62.45" customHeight="1" x14ac:dyDescent="0.25">
      <c r="A16" s="2" t="s">
        <v>184</v>
      </c>
      <c r="B16" s="3" t="s">
        <v>31</v>
      </c>
      <c r="C16" s="3" t="s">
        <v>169</v>
      </c>
      <c r="D16" s="1" t="s">
        <v>185</v>
      </c>
      <c r="E16" s="41" t="s">
        <v>186</v>
      </c>
      <c r="F16" s="41" t="s">
        <v>187</v>
      </c>
      <c r="G16" s="41" t="s">
        <v>188</v>
      </c>
      <c r="H16" s="41" t="s">
        <v>189</v>
      </c>
      <c r="I16" s="41" t="s">
        <v>110</v>
      </c>
      <c r="J16" s="4">
        <f t="shared" si="0"/>
        <v>1</v>
      </c>
      <c r="K16" s="4" t="s">
        <v>74</v>
      </c>
      <c r="L16" s="4" t="s">
        <v>74</v>
      </c>
      <c r="M16" s="41" t="s">
        <v>190</v>
      </c>
      <c r="N16" s="4" t="s">
        <v>65</v>
      </c>
      <c r="O16" s="40">
        <f t="shared" si="1"/>
        <v>1.0098400000000001</v>
      </c>
    </row>
    <row r="17" spans="1:15" ht="112.5" customHeight="1" x14ac:dyDescent="0.25">
      <c r="A17" s="2" t="s">
        <v>191</v>
      </c>
      <c r="B17" s="3" t="s">
        <v>31</v>
      </c>
      <c r="C17" s="3" t="s">
        <v>192</v>
      </c>
      <c r="D17" s="1" t="s">
        <v>193</v>
      </c>
      <c r="E17" s="41" t="s">
        <v>194</v>
      </c>
      <c r="F17" s="41" t="s">
        <v>195</v>
      </c>
      <c r="G17" s="41" t="s">
        <v>196</v>
      </c>
      <c r="H17" s="41" t="s">
        <v>197</v>
      </c>
      <c r="I17" s="41" t="s">
        <v>198</v>
      </c>
      <c r="J17" s="4">
        <f t="shared" si="0"/>
        <v>6</v>
      </c>
      <c r="K17" s="4" t="s">
        <v>62</v>
      </c>
      <c r="L17" s="4" t="s">
        <v>92</v>
      </c>
      <c r="M17" s="41" t="s">
        <v>64</v>
      </c>
      <c r="N17" s="4" t="s">
        <v>65</v>
      </c>
      <c r="O17" s="40">
        <f t="shared" si="1"/>
        <v>6.00983</v>
      </c>
    </row>
    <row r="18" spans="1:15" ht="87.6" customHeight="1" x14ac:dyDescent="0.25">
      <c r="A18" s="5" t="s">
        <v>199</v>
      </c>
      <c r="B18" s="6" t="s">
        <v>32</v>
      </c>
      <c r="C18" s="6" t="s">
        <v>200</v>
      </c>
      <c r="D18" s="1" t="s">
        <v>201</v>
      </c>
      <c r="E18" s="41" t="s">
        <v>202</v>
      </c>
      <c r="F18" s="41" t="s">
        <v>203</v>
      </c>
      <c r="G18" s="41" t="s">
        <v>204</v>
      </c>
      <c r="H18" s="41" t="s">
        <v>205</v>
      </c>
      <c r="I18" s="41" t="s">
        <v>206</v>
      </c>
      <c r="J18" s="4">
        <f t="shared" si="0"/>
        <v>4</v>
      </c>
      <c r="K18" s="4" t="s">
        <v>207</v>
      </c>
      <c r="L18" s="4" t="s">
        <v>208</v>
      </c>
      <c r="M18" s="41" t="s">
        <v>64</v>
      </c>
      <c r="N18" s="4" t="s">
        <v>65</v>
      </c>
      <c r="O18" s="40">
        <f t="shared" si="1"/>
        <v>4.0098200000000004</v>
      </c>
    </row>
    <row r="19" spans="1:15" ht="87.6" customHeight="1" x14ac:dyDescent="0.25">
      <c r="A19" s="5" t="s">
        <v>209</v>
      </c>
      <c r="B19" s="6" t="s">
        <v>32</v>
      </c>
      <c r="C19" s="6" t="s">
        <v>200</v>
      </c>
      <c r="D19" s="1" t="s">
        <v>210</v>
      </c>
      <c r="E19" s="41" t="s">
        <v>211</v>
      </c>
      <c r="F19" s="41" t="s">
        <v>212</v>
      </c>
      <c r="G19" s="41" t="s">
        <v>213</v>
      </c>
      <c r="H19" s="41" t="s">
        <v>214</v>
      </c>
      <c r="I19" s="41" t="s">
        <v>215</v>
      </c>
      <c r="J19" s="4">
        <f t="shared" si="0"/>
        <v>4</v>
      </c>
      <c r="K19" s="4" t="s">
        <v>216</v>
      </c>
      <c r="L19" s="4" t="s">
        <v>74</v>
      </c>
      <c r="M19" s="41" t="s">
        <v>64</v>
      </c>
      <c r="N19" s="4" t="s">
        <v>65</v>
      </c>
      <c r="O19" s="40">
        <f t="shared" si="1"/>
        <v>4.0098099999999999</v>
      </c>
    </row>
    <row r="20" spans="1:15" ht="75" customHeight="1" x14ac:dyDescent="0.25">
      <c r="A20" s="5" t="s">
        <v>217</v>
      </c>
      <c r="B20" s="6" t="s">
        <v>32</v>
      </c>
      <c r="C20" s="6" t="s">
        <v>218</v>
      </c>
      <c r="D20" s="1" t="s">
        <v>219</v>
      </c>
      <c r="E20" s="41" t="s">
        <v>220</v>
      </c>
      <c r="F20" s="41" t="s">
        <v>221</v>
      </c>
      <c r="G20" s="41" t="s">
        <v>222</v>
      </c>
      <c r="H20" s="41" t="s">
        <v>223</v>
      </c>
      <c r="I20" s="41" t="s">
        <v>224</v>
      </c>
      <c r="J20" s="4">
        <f t="shared" si="0"/>
        <v>2</v>
      </c>
      <c r="K20" s="4" t="s">
        <v>140</v>
      </c>
      <c r="L20" s="4" t="s">
        <v>100</v>
      </c>
      <c r="M20" s="41" t="s">
        <v>64</v>
      </c>
      <c r="N20" s="4" t="s">
        <v>65</v>
      </c>
      <c r="O20" s="40">
        <f t="shared" si="1"/>
        <v>2.0097999999999998</v>
      </c>
    </row>
    <row r="21" spans="1:15" ht="75" customHeight="1" x14ac:dyDescent="0.25">
      <c r="A21" s="5" t="s">
        <v>225</v>
      </c>
      <c r="B21" s="6" t="s">
        <v>32</v>
      </c>
      <c r="C21" s="6" t="s">
        <v>226</v>
      </c>
      <c r="D21" s="1" t="s">
        <v>227</v>
      </c>
      <c r="E21" s="41" t="s">
        <v>228</v>
      </c>
      <c r="F21" s="41" t="s">
        <v>229</v>
      </c>
      <c r="G21" s="41" t="s">
        <v>230</v>
      </c>
      <c r="H21" s="41" t="s">
        <v>231</v>
      </c>
      <c r="I21" s="41" t="s">
        <v>232</v>
      </c>
      <c r="J21" s="4">
        <f t="shared" si="0"/>
        <v>2</v>
      </c>
      <c r="K21" s="4" t="s">
        <v>120</v>
      </c>
      <c r="L21" s="4" t="s">
        <v>74</v>
      </c>
      <c r="M21" s="41" t="s">
        <v>75</v>
      </c>
      <c r="N21" s="4" t="s">
        <v>131</v>
      </c>
      <c r="O21" s="40">
        <f t="shared" si="1"/>
        <v>2.0097900000000002</v>
      </c>
    </row>
    <row r="22" spans="1:15" ht="150" customHeight="1" x14ac:dyDescent="0.25">
      <c r="A22" s="5" t="s">
        <v>233</v>
      </c>
      <c r="B22" s="6" t="s">
        <v>32</v>
      </c>
      <c r="C22" s="6" t="s">
        <v>234</v>
      </c>
      <c r="D22" s="1" t="s">
        <v>235</v>
      </c>
      <c r="E22" s="41" t="s">
        <v>236</v>
      </c>
      <c r="F22" s="41" t="s">
        <v>237</v>
      </c>
      <c r="G22" s="41" t="s">
        <v>238</v>
      </c>
      <c r="H22" s="41" t="s">
        <v>239</v>
      </c>
      <c r="I22" s="41" t="s">
        <v>240</v>
      </c>
      <c r="J22" s="4">
        <f t="shared" si="0"/>
        <v>6</v>
      </c>
      <c r="K22" s="4" t="s">
        <v>62</v>
      </c>
      <c r="L22" s="4" t="s">
        <v>92</v>
      </c>
      <c r="M22" s="41" t="s">
        <v>64</v>
      </c>
      <c r="N22" s="4" t="s">
        <v>65</v>
      </c>
      <c r="O22" s="40">
        <f t="shared" si="1"/>
        <v>6.0097800000000001</v>
      </c>
    </row>
    <row r="23" spans="1:15" ht="125.1" customHeight="1" x14ac:dyDescent="0.25">
      <c r="A23" s="5" t="s">
        <v>241</v>
      </c>
      <c r="B23" s="6" t="s">
        <v>32</v>
      </c>
      <c r="C23" s="6" t="s">
        <v>234</v>
      </c>
      <c r="D23" s="1" t="s">
        <v>242</v>
      </c>
      <c r="E23" s="41" t="s">
        <v>243</v>
      </c>
      <c r="F23" s="41" t="s">
        <v>244</v>
      </c>
      <c r="G23" s="41" t="s">
        <v>245</v>
      </c>
      <c r="H23" s="41" t="s">
        <v>246</v>
      </c>
      <c r="I23" s="41" t="s">
        <v>247</v>
      </c>
      <c r="J23" s="4">
        <f t="shared" si="0"/>
        <v>5</v>
      </c>
      <c r="K23" s="4" t="s">
        <v>120</v>
      </c>
      <c r="L23" s="4" t="s">
        <v>92</v>
      </c>
      <c r="M23" s="41" t="s">
        <v>64</v>
      </c>
      <c r="N23" s="4" t="s">
        <v>65</v>
      </c>
      <c r="O23" s="40">
        <f t="shared" si="1"/>
        <v>5.0097699999999996</v>
      </c>
    </row>
    <row r="24" spans="1:15" ht="150" customHeight="1" x14ac:dyDescent="0.25">
      <c r="A24" s="5" t="s">
        <v>248</v>
      </c>
      <c r="B24" s="6" t="s">
        <v>32</v>
      </c>
      <c r="C24" s="6" t="s">
        <v>249</v>
      </c>
      <c r="D24" s="1" t="s">
        <v>250</v>
      </c>
      <c r="E24" s="41" t="s">
        <v>251</v>
      </c>
      <c r="F24" s="41" t="s">
        <v>252</v>
      </c>
      <c r="G24" s="41" t="s">
        <v>253</v>
      </c>
      <c r="H24" s="41" t="s">
        <v>254</v>
      </c>
      <c r="I24" s="41" t="s">
        <v>255</v>
      </c>
      <c r="J24" s="4">
        <f t="shared" si="0"/>
        <v>4</v>
      </c>
      <c r="K24" s="4" t="s">
        <v>216</v>
      </c>
      <c r="L24" s="4" t="s">
        <v>74</v>
      </c>
      <c r="M24" s="41" t="s">
        <v>256</v>
      </c>
      <c r="N24" s="4" t="s">
        <v>65</v>
      </c>
      <c r="O24" s="40">
        <f t="shared" si="1"/>
        <v>4.00976</v>
      </c>
    </row>
    <row r="25" spans="1:15" ht="99.95" customHeight="1" x14ac:dyDescent="0.25">
      <c r="A25" s="5" t="s">
        <v>257</v>
      </c>
      <c r="B25" s="6" t="s">
        <v>32</v>
      </c>
      <c r="C25" s="6" t="s">
        <v>258</v>
      </c>
      <c r="D25" s="1" t="s">
        <v>259</v>
      </c>
      <c r="E25" s="41" t="s">
        <v>260</v>
      </c>
      <c r="F25" s="41" t="s">
        <v>261</v>
      </c>
      <c r="G25" s="41" t="s">
        <v>262</v>
      </c>
      <c r="H25" s="41" t="s">
        <v>263</v>
      </c>
      <c r="I25" s="41" t="s">
        <v>264</v>
      </c>
      <c r="J25" s="4">
        <f t="shared" si="0"/>
        <v>3</v>
      </c>
      <c r="K25" s="4" t="s">
        <v>265</v>
      </c>
      <c r="L25" s="4" t="s">
        <v>149</v>
      </c>
      <c r="M25" s="41" t="s">
        <v>266</v>
      </c>
      <c r="N25" s="4" t="s">
        <v>65</v>
      </c>
      <c r="O25" s="40">
        <f t="shared" si="1"/>
        <v>3.0097499999999999</v>
      </c>
    </row>
    <row r="26" spans="1:15" ht="99.95" customHeight="1" x14ac:dyDescent="0.25">
      <c r="A26" s="5" t="s">
        <v>267</v>
      </c>
      <c r="B26" s="6" t="s">
        <v>32</v>
      </c>
      <c r="C26" s="6" t="s">
        <v>268</v>
      </c>
      <c r="D26" s="1" t="s">
        <v>269</v>
      </c>
      <c r="E26" s="41" t="s">
        <v>270</v>
      </c>
      <c r="F26" s="41" t="s">
        <v>271</v>
      </c>
      <c r="G26" s="41" t="s">
        <v>272</v>
      </c>
      <c r="H26" s="41" t="s">
        <v>273</v>
      </c>
      <c r="I26" s="41" t="s">
        <v>274</v>
      </c>
      <c r="J26" s="4">
        <f t="shared" si="0"/>
        <v>5</v>
      </c>
      <c r="K26" s="4" t="s">
        <v>62</v>
      </c>
      <c r="L26" s="4" t="s">
        <v>159</v>
      </c>
      <c r="M26" s="41" t="s">
        <v>64</v>
      </c>
      <c r="N26" s="4" t="s">
        <v>65</v>
      </c>
      <c r="O26" s="40">
        <f t="shared" si="1"/>
        <v>5.0097399999999999</v>
      </c>
    </row>
    <row r="27" spans="1:15" ht="137.44999999999999" customHeight="1" x14ac:dyDescent="0.25">
      <c r="A27" s="5" t="s">
        <v>275</v>
      </c>
      <c r="B27" s="6" t="s">
        <v>32</v>
      </c>
      <c r="C27" s="6" t="s">
        <v>268</v>
      </c>
      <c r="D27" s="1" t="s">
        <v>276</v>
      </c>
      <c r="E27" s="41" t="s">
        <v>277</v>
      </c>
      <c r="F27" s="41" t="s">
        <v>278</v>
      </c>
      <c r="G27" s="41" t="s">
        <v>279</v>
      </c>
      <c r="H27" s="41" t="s">
        <v>280</v>
      </c>
      <c r="I27" s="41" t="s">
        <v>281</v>
      </c>
      <c r="J27" s="4">
        <f t="shared" si="0"/>
        <v>7</v>
      </c>
      <c r="K27" s="4" t="s">
        <v>265</v>
      </c>
      <c r="L27" s="4" t="s">
        <v>74</v>
      </c>
      <c r="M27" s="41" t="s">
        <v>64</v>
      </c>
      <c r="N27" s="4" t="s">
        <v>65</v>
      </c>
      <c r="O27" s="40">
        <f t="shared" si="1"/>
        <v>7.0097300000000002</v>
      </c>
    </row>
    <row r="28" spans="1:15" ht="125.1" customHeight="1" x14ac:dyDescent="0.25">
      <c r="A28" s="7" t="s">
        <v>282</v>
      </c>
      <c r="B28" s="8" t="s">
        <v>33</v>
      </c>
      <c r="C28" s="8" t="s">
        <v>283</v>
      </c>
      <c r="D28" s="1" t="s">
        <v>284</v>
      </c>
      <c r="E28" s="41" t="s">
        <v>285</v>
      </c>
      <c r="F28" s="41" t="s">
        <v>286</v>
      </c>
      <c r="G28" s="41" t="s">
        <v>287</v>
      </c>
      <c r="H28" s="41" t="s">
        <v>288</v>
      </c>
      <c r="I28" s="41" t="s">
        <v>289</v>
      </c>
      <c r="J28" s="4">
        <f t="shared" si="0"/>
        <v>4</v>
      </c>
      <c r="K28" s="4" t="s">
        <v>183</v>
      </c>
      <c r="L28" s="4" t="s">
        <v>74</v>
      </c>
      <c r="M28" s="41" t="s">
        <v>64</v>
      </c>
      <c r="N28" s="4" t="s">
        <v>65</v>
      </c>
      <c r="O28" s="40">
        <f t="shared" si="1"/>
        <v>4.0097199999999997</v>
      </c>
    </row>
    <row r="29" spans="1:15" ht="125.1" customHeight="1" x14ac:dyDescent="0.25">
      <c r="A29" s="7" t="s">
        <v>290</v>
      </c>
      <c r="B29" s="8" t="s">
        <v>33</v>
      </c>
      <c r="C29" s="8" t="s">
        <v>283</v>
      </c>
      <c r="D29" s="1" t="s">
        <v>291</v>
      </c>
      <c r="E29" s="41" t="s">
        <v>292</v>
      </c>
      <c r="F29" s="41" t="s">
        <v>293</v>
      </c>
      <c r="G29" s="41" t="s">
        <v>294</v>
      </c>
      <c r="H29" s="41" t="s">
        <v>295</v>
      </c>
      <c r="I29" s="41" t="s">
        <v>296</v>
      </c>
      <c r="J29" s="4">
        <f t="shared" si="0"/>
        <v>3</v>
      </c>
      <c r="K29" s="4" t="s">
        <v>297</v>
      </c>
      <c r="L29" s="4" t="s">
        <v>74</v>
      </c>
      <c r="M29" s="41" t="s">
        <v>75</v>
      </c>
      <c r="N29" s="4" t="s">
        <v>65</v>
      </c>
      <c r="O29" s="40">
        <f t="shared" si="1"/>
        <v>3.0097100000000001</v>
      </c>
    </row>
    <row r="30" spans="1:15" ht="99.95" customHeight="1" x14ac:dyDescent="0.25">
      <c r="A30" s="7" t="s">
        <v>298</v>
      </c>
      <c r="B30" s="8" t="s">
        <v>33</v>
      </c>
      <c r="C30" s="8" t="s">
        <v>283</v>
      </c>
      <c r="D30" s="1" t="s">
        <v>299</v>
      </c>
      <c r="E30" s="41" t="s">
        <v>300</v>
      </c>
      <c r="F30" s="41" t="s">
        <v>301</v>
      </c>
      <c r="G30" s="41" t="s">
        <v>302</v>
      </c>
      <c r="H30" s="41" t="s">
        <v>303</v>
      </c>
      <c r="I30" s="41" t="s">
        <v>304</v>
      </c>
      <c r="J30" s="4">
        <f t="shared" si="0"/>
        <v>4</v>
      </c>
      <c r="K30" s="4" t="s">
        <v>216</v>
      </c>
      <c r="L30" s="4" t="s">
        <v>159</v>
      </c>
      <c r="M30" s="41" t="s">
        <v>305</v>
      </c>
      <c r="N30" s="4" t="s">
        <v>65</v>
      </c>
      <c r="O30" s="40">
        <f t="shared" si="1"/>
        <v>4.0096999999999996</v>
      </c>
    </row>
    <row r="31" spans="1:15" ht="99.95" customHeight="1" x14ac:dyDescent="0.25">
      <c r="A31" s="7" t="s">
        <v>306</v>
      </c>
      <c r="B31" s="8" t="s">
        <v>33</v>
      </c>
      <c r="C31" s="8" t="s">
        <v>307</v>
      </c>
      <c r="D31" s="1" t="s">
        <v>308</v>
      </c>
      <c r="E31" s="41" t="s">
        <v>309</v>
      </c>
      <c r="F31" s="41" t="s">
        <v>310</v>
      </c>
      <c r="G31" s="41" t="s">
        <v>311</v>
      </c>
      <c r="H31" s="41" t="s">
        <v>312</v>
      </c>
      <c r="I31" s="41" t="s">
        <v>313</v>
      </c>
      <c r="J31" s="4">
        <f t="shared" si="0"/>
        <v>3</v>
      </c>
      <c r="K31" s="4" t="s">
        <v>62</v>
      </c>
      <c r="L31" s="4" t="s">
        <v>159</v>
      </c>
      <c r="M31" s="41" t="s">
        <v>64</v>
      </c>
      <c r="N31" s="4" t="s">
        <v>65</v>
      </c>
      <c r="O31" s="40">
        <f t="shared" si="1"/>
        <v>3.00969</v>
      </c>
    </row>
    <row r="32" spans="1:15" ht="87.6" customHeight="1" x14ac:dyDescent="0.25">
      <c r="A32" s="7" t="s">
        <v>314</v>
      </c>
      <c r="B32" s="8" t="s">
        <v>33</v>
      </c>
      <c r="C32" s="8" t="s">
        <v>307</v>
      </c>
      <c r="D32" s="1" t="s">
        <v>315</v>
      </c>
      <c r="E32" s="41" t="s">
        <v>316</v>
      </c>
      <c r="F32" s="41" t="s">
        <v>317</v>
      </c>
      <c r="G32" s="41" t="s">
        <v>318</v>
      </c>
      <c r="H32" s="41" t="s">
        <v>319</v>
      </c>
      <c r="I32" s="41" t="s">
        <v>320</v>
      </c>
      <c r="J32" s="4">
        <f t="shared" si="0"/>
        <v>2</v>
      </c>
      <c r="K32" s="4" t="s">
        <v>321</v>
      </c>
      <c r="L32" s="4" t="s">
        <v>149</v>
      </c>
      <c r="M32" s="41" t="s">
        <v>322</v>
      </c>
      <c r="N32" s="4" t="s">
        <v>65</v>
      </c>
      <c r="O32" s="40">
        <f t="shared" si="1"/>
        <v>2.0096799999999999</v>
      </c>
    </row>
    <row r="33" spans="1:15" ht="87.6" customHeight="1" x14ac:dyDescent="0.25">
      <c r="A33" s="7" t="s">
        <v>323</v>
      </c>
      <c r="B33" s="8" t="s">
        <v>33</v>
      </c>
      <c r="C33" s="8" t="s">
        <v>324</v>
      </c>
      <c r="D33" s="1" t="s">
        <v>325</v>
      </c>
      <c r="E33" s="41" t="s">
        <v>326</v>
      </c>
      <c r="F33" s="41" t="s">
        <v>327</v>
      </c>
      <c r="G33" s="41" t="s">
        <v>328</v>
      </c>
      <c r="H33" s="41" t="s">
        <v>329</v>
      </c>
      <c r="I33" s="41" t="s">
        <v>330</v>
      </c>
      <c r="J33" s="4">
        <f t="shared" si="0"/>
        <v>2</v>
      </c>
      <c r="K33" s="4" t="s">
        <v>297</v>
      </c>
      <c r="L33" s="4" t="s">
        <v>321</v>
      </c>
      <c r="M33" s="41" t="s">
        <v>64</v>
      </c>
      <c r="N33" s="4" t="s">
        <v>65</v>
      </c>
      <c r="O33" s="40">
        <f t="shared" si="1"/>
        <v>2.0096699999999998</v>
      </c>
    </row>
    <row r="34" spans="1:15" ht="62.45" customHeight="1" x14ac:dyDescent="0.25">
      <c r="A34" s="7" t="s">
        <v>331</v>
      </c>
      <c r="B34" s="8" t="s">
        <v>33</v>
      </c>
      <c r="C34" s="8" t="s">
        <v>324</v>
      </c>
      <c r="D34" s="1" t="s">
        <v>332</v>
      </c>
      <c r="E34" s="41" t="s">
        <v>333</v>
      </c>
      <c r="F34" s="41" t="s">
        <v>334</v>
      </c>
      <c r="G34" s="41" t="s">
        <v>335</v>
      </c>
      <c r="H34" s="41" t="s">
        <v>336</v>
      </c>
      <c r="I34" s="41" t="s">
        <v>337</v>
      </c>
      <c r="J34" s="4">
        <f t="shared" ref="J34:J65" si="2">LEN(I34)-LEN(SUBSTITUTE(I34,"F",""))</f>
        <v>1</v>
      </c>
      <c r="K34" s="4" t="s">
        <v>62</v>
      </c>
      <c r="L34" s="4" t="s">
        <v>62</v>
      </c>
      <c r="M34" s="41" t="s">
        <v>338</v>
      </c>
      <c r="N34" s="4" t="s">
        <v>65</v>
      </c>
      <c r="O34" s="40">
        <f t="shared" ref="O34:O65" si="3">J34+(1000-ROW())/100000</f>
        <v>1.00966</v>
      </c>
    </row>
    <row r="35" spans="1:15" ht="75" customHeight="1" x14ac:dyDescent="0.25">
      <c r="A35" s="7" t="s">
        <v>339</v>
      </c>
      <c r="B35" s="8" t="s">
        <v>33</v>
      </c>
      <c r="C35" s="8" t="s">
        <v>33</v>
      </c>
      <c r="D35" s="1" t="s">
        <v>340</v>
      </c>
      <c r="E35" s="41" t="s">
        <v>341</v>
      </c>
      <c r="F35" s="41" t="s">
        <v>342</v>
      </c>
      <c r="G35" s="41" t="s">
        <v>343</v>
      </c>
      <c r="H35" s="41" t="s">
        <v>344</v>
      </c>
      <c r="I35" s="41" t="s">
        <v>345</v>
      </c>
      <c r="J35" s="4">
        <f t="shared" si="2"/>
        <v>3</v>
      </c>
      <c r="K35" s="4" t="s">
        <v>120</v>
      </c>
      <c r="L35" s="4" t="s">
        <v>92</v>
      </c>
      <c r="M35" s="41" t="s">
        <v>64</v>
      </c>
      <c r="N35" s="4" t="s">
        <v>65</v>
      </c>
      <c r="O35" s="40">
        <f t="shared" si="3"/>
        <v>3.0096500000000002</v>
      </c>
    </row>
    <row r="36" spans="1:15" ht="87.6" customHeight="1" x14ac:dyDescent="0.25">
      <c r="A36" s="7" t="s">
        <v>346</v>
      </c>
      <c r="B36" s="8" t="s">
        <v>33</v>
      </c>
      <c r="C36" s="8" t="s">
        <v>33</v>
      </c>
      <c r="D36" s="1" t="s">
        <v>347</v>
      </c>
      <c r="E36" s="41" t="s">
        <v>348</v>
      </c>
      <c r="F36" s="41" t="s">
        <v>349</v>
      </c>
      <c r="G36" s="41" t="s">
        <v>350</v>
      </c>
      <c r="H36" s="41" t="s">
        <v>351</v>
      </c>
      <c r="I36" s="41" t="s">
        <v>352</v>
      </c>
      <c r="J36" s="4">
        <f t="shared" si="2"/>
        <v>2</v>
      </c>
      <c r="K36" s="4" t="s">
        <v>140</v>
      </c>
      <c r="L36" s="4" t="s">
        <v>216</v>
      </c>
      <c r="M36" s="41" t="s">
        <v>64</v>
      </c>
      <c r="N36" s="4" t="s">
        <v>65</v>
      </c>
      <c r="O36" s="40">
        <f t="shared" si="3"/>
        <v>2.0096400000000001</v>
      </c>
    </row>
    <row r="37" spans="1:15" ht="125.1" customHeight="1" x14ac:dyDescent="0.25">
      <c r="A37" s="7" t="s">
        <v>353</v>
      </c>
      <c r="B37" s="8" t="s">
        <v>33</v>
      </c>
      <c r="C37" s="8" t="s">
        <v>33</v>
      </c>
      <c r="D37" s="1" t="s">
        <v>354</v>
      </c>
      <c r="E37" s="41" t="s">
        <v>355</v>
      </c>
      <c r="F37" s="41" t="s">
        <v>356</v>
      </c>
      <c r="G37" s="41" t="s">
        <v>357</v>
      </c>
      <c r="H37" s="41" t="s">
        <v>358</v>
      </c>
      <c r="I37" s="41" t="s">
        <v>359</v>
      </c>
      <c r="J37" s="4">
        <f t="shared" si="2"/>
        <v>3</v>
      </c>
      <c r="K37" s="4" t="s">
        <v>360</v>
      </c>
      <c r="L37" s="4" t="s">
        <v>63</v>
      </c>
      <c r="M37" s="41" t="s">
        <v>361</v>
      </c>
      <c r="N37" s="4" t="s">
        <v>65</v>
      </c>
      <c r="O37" s="40">
        <f t="shared" si="3"/>
        <v>3.00963</v>
      </c>
    </row>
    <row r="38" spans="1:15" ht="87.6" customHeight="1" x14ac:dyDescent="0.25">
      <c r="A38" s="9" t="s">
        <v>362</v>
      </c>
      <c r="B38" s="10" t="s">
        <v>34</v>
      </c>
      <c r="C38" s="10" t="s">
        <v>363</v>
      </c>
      <c r="D38" s="1" t="s">
        <v>364</v>
      </c>
      <c r="E38" s="41" t="s">
        <v>365</v>
      </c>
      <c r="F38" s="41" t="s">
        <v>366</v>
      </c>
      <c r="G38" s="41" t="s">
        <v>367</v>
      </c>
      <c r="H38" s="41" t="s">
        <v>368</v>
      </c>
      <c r="I38" s="41" t="s">
        <v>369</v>
      </c>
      <c r="J38" s="4">
        <f t="shared" si="2"/>
        <v>1</v>
      </c>
      <c r="K38" s="4" t="s">
        <v>265</v>
      </c>
      <c r="L38" s="4" t="s">
        <v>265</v>
      </c>
      <c r="M38" s="41" t="s">
        <v>64</v>
      </c>
      <c r="N38" s="4" t="s">
        <v>65</v>
      </c>
      <c r="O38" s="40">
        <f t="shared" si="3"/>
        <v>1.00962</v>
      </c>
    </row>
    <row r="39" spans="1:15" ht="87.6" customHeight="1" x14ac:dyDescent="0.25">
      <c r="A39" s="9" t="s">
        <v>370</v>
      </c>
      <c r="B39" s="10" t="s">
        <v>34</v>
      </c>
      <c r="C39" s="10" t="s">
        <v>363</v>
      </c>
      <c r="D39" s="1" t="s">
        <v>371</v>
      </c>
      <c r="E39" s="41" t="s">
        <v>372</v>
      </c>
      <c r="F39" s="41" t="s">
        <v>373</v>
      </c>
      <c r="G39" s="41" t="s">
        <v>374</v>
      </c>
      <c r="H39" s="41" t="s">
        <v>375</v>
      </c>
      <c r="I39" s="41" t="s">
        <v>376</v>
      </c>
      <c r="J39" s="4">
        <f t="shared" si="2"/>
        <v>2</v>
      </c>
      <c r="K39" s="4" t="s">
        <v>101</v>
      </c>
      <c r="L39" s="4" t="s">
        <v>74</v>
      </c>
      <c r="M39" s="41" t="s">
        <v>75</v>
      </c>
      <c r="N39" s="4" t="s">
        <v>65</v>
      </c>
      <c r="O39" s="40">
        <f t="shared" si="3"/>
        <v>2.0096099999999999</v>
      </c>
    </row>
    <row r="40" spans="1:15" ht="75" customHeight="1" x14ac:dyDescent="0.25">
      <c r="A40" s="9" t="s">
        <v>377</v>
      </c>
      <c r="B40" s="10" t="s">
        <v>34</v>
      </c>
      <c r="C40" s="10" t="s">
        <v>378</v>
      </c>
      <c r="D40" s="1" t="s">
        <v>379</v>
      </c>
      <c r="E40" s="41" t="s">
        <v>380</v>
      </c>
      <c r="F40" s="41" t="s">
        <v>381</v>
      </c>
      <c r="G40" s="41" t="s">
        <v>382</v>
      </c>
      <c r="H40" s="41" t="s">
        <v>383</v>
      </c>
      <c r="I40" s="41" t="s">
        <v>224</v>
      </c>
      <c r="J40" s="4">
        <f t="shared" si="2"/>
        <v>2</v>
      </c>
      <c r="K40" s="4" t="s">
        <v>140</v>
      </c>
      <c r="L40" s="4" t="s">
        <v>100</v>
      </c>
      <c r="M40" s="41" t="s">
        <v>64</v>
      </c>
      <c r="N40" s="4" t="s">
        <v>65</v>
      </c>
      <c r="O40" s="40">
        <f t="shared" si="3"/>
        <v>2.0095999999999998</v>
      </c>
    </row>
    <row r="41" spans="1:15" ht="75" customHeight="1" x14ac:dyDescent="0.25">
      <c r="A41" s="9" t="s">
        <v>384</v>
      </c>
      <c r="B41" s="10" t="s">
        <v>34</v>
      </c>
      <c r="C41" s="10" t="s">
        <v>385</v>
      </c>
      <c r="D41" s="1" t="s">
        <v>386</v>
      </c>
      <c r="E41" s="41" t="s">
        <v>387</v>
      </c>
      <c r="F41" s="41" t="s">
        <v>388</v>
      </c>
      <c r="G41" s="41" t="s">
        <v>389</v>
      </c>
      <c r="H41" s="41" t="s">
        <v>390</v>
      </c>
      <c r="I41" s="41" t="s">
        <v>391</v>
      </c>
      <c r="J41" s="4">
        <f t="shared" si="2"/>
        <v>3</v>
      </c>
      <c r="K41" s="4" t="s">
        <v>148</v>
      </c>
      <c r="L41" s="4" t="s">
        <v>208</v>
      </c>
      <c r="M41" s="41" t="s">
        <v>64</v>
      </c>
      <c r="N41" s="4" t="s">
        <v>65</v>
      </c>
      <c r="O41" s="40">
        <f t="shared" si="3"/>
        <v>3.0095900000000002</v>
      </c>
    </row>
    <row r="42" spans="1:15" ht="87.6" customHeight="1" x14ac:dyDescent="0.25">
      <c r="A42" s="9" t="s">
        <v>392</v>
      </c>
      <c r="B42" s="10" t="s">
        <v>34</v>
      </c>
      <c r="C42" s="10" t="s">
        <v>385</v>
      </c>
      <c r="D42" s="1" t="s">
        <v>393</v>
      </c>
      <c r="E42" s="41" t="s">
        <v>394</v>
      </c>
      <c r="F42" s="41" t="s">
        <v>395</v>
      </c>
      <c r="G42" s="41" t="s">
        <v>396</v>
      </c>
      <c r="H42" s="41" t="s">
        <v>397</v>
      </c>
      <c r="I42" s="41" t="s">
        <v>398</v>
      </c>
      <c r="J42" s="4">
        <f t="shared" si="2"/>
        <v>4</v>
      </c>
      <c r="K42" s="4" t="s">
        <v>101</v>
      </c>
      <c r="L42" s="4" t="s">
        <v>63</v>
      </c>
      <c r="M42" s="41" t="s">
        <v>130</v>
      </c>
      <c r="N42" s="4" t="s">
        <v>65</v>
      </c>
      <c r="O42" s="40">
        <f t="shared" si="3"/>
        <v>4.0095799999999997</v>
      </c>
    </row>
    <row r="43" spans="1:15" ht="87.6" customHeight="1" x14ac:dyDescent="0.25">
      <c r="A43" s="9" t="s">
        <v>399</v>
      </c>
      <c r="B43" s="10" t="s">
        <v>34</v>
      </c>
      <c r="C43" s="10" t="s">
        <v>400</v>
      </c>
      <c r="D43" s="1" t="s">
        <v>401</v>
      </c>
      <c r="E43" s="41" t="s">
        <v>402</v>
      </c>
      <c r="F43" s="41" t="s">
        <v>403</v>
      </c>
      <c r="G43" s="41" t="s">
        <v>404</v>
      </c>
      <c r="H43" s="41" t="s">
        <v>405</v>
      </c>
      <c r="I43" s="41" t="s">
        <v>406</v>
      </c>
      <c r="J43" s="4">
        <f t="shared" si="2"/>
        <v>3</v>
      </c>
      <c r="K43" s="4" t="s">
        <v>62</v>
      </c>
      <c r="L43" s="4" t="s">
        <v>148</v>
      </c>
      <c r="M43" s="41" t="s">
        <v>64</v>
      </c>
      <c r="N43" s="4" t="s">
        <v>65</v>
      </c>
      <c r="O43" s="40">
        <f t="shared" si="3"/>
        <v>3.0095700000000001</v>
      </c>
    </row>
    <row r="44" spans="1:15" ht="62.45" customHeight="1" x14ac:dyDescent="0.25">
      <c r="A44" s="9" t="s">
        <v>407</v>
      </c>
      <c r="B44" s="10" t="s">
        <v>34</v>
      </c>
      <c r="C44" s="10" t="s">
        <v>400</v>
      </c>
      <c r="D44" s="1" t="s">
        <v>408</v>
      </c>
      <c r="E44" s="41" t="s">
        <v>409</v>
      </c>
      <c r="F44" s="41" t="s">
        <v>410</v>
      </c>
      <c r="G44" s="41" t="s">
        <v>411</v>
      </c>
      <c r="H44" s="41" t="s">
        <v>412</v>
      </c>
      <c r="I44" s="41" t="s">
        <v>413</v>
      </c>
      <c r="J44" s="4">
        <f t="shared" si="2"/>
        <v>2</v>
      </c>
      <c r="K44" s="4" t="s">
        <v>120</v>
      </c>
      <c r="L44" s="4" t="s">
        <v>148</v>
      </c>
      <c r="M44" s="41" t="s">
        <v>75</v>
      </c>
      <c r="N44" s="4" t="s">
        <v>65</v>
      </c>
      <c r="O44" s="40">
        <f t="shared" si="3"/>
        <v>2.00956</v>
      </c>
    </row>
    <row r="45" spans="1:15" ht="50.1" customHeight="1" x14ac:dyDescent="0.25">
      <c r="A45" s="9" t="s">
        <v>414</v>
      </c>
      <c r="B45" s="10" t="s">
        <v>34</v>
      </c>
      <c r="C45" s="10" t="s">
        <v>400</v>
      </c>
      <c r="D45" s="1" t="s">
        <v>415</v>
      </c>
      <c r="E45" s="41" t="s">
        <v>416</v>
      </c>
      <c r="F45" s="41" t="s">
        <v>417</v>
      </c>
      <c r="G45" s="41" t="s">
        <v>418</v>
      </c>
      <c r="H45" s="41" t="s">
        <v>419</v>
      </c>
      <c r="I45" s="41" t="s">
        <v>420</v>
      </c>
      <c r="J45" s="4">
        <f t="shared" si="2"/>
        <v>1</v>
      </c>
      <c r="K45" s="4" t="s">
        <v>149</v>
      </c>
      <c r="L45" s="4" t="s">
        <v>149</v>
      </c>
      <c r="M45" s="41" t="s">
        <v>421</v>
      </c>
      <c r="N45" s="4" t="s">
        <v>65</v>
      </c>
      <c r="O45" s="40">
        <f t="shared" si="3"/>
        <v>1.0095499999999999</v>
      </c>
    </row>
    <row r="46" spans="1:15" ht="99.95" customHeight="1" x14ac:dyDescent="0.25">
      <c r="A46" s="9" t="s">
        <v>422</v>
      </c>
      <c r="B46" s="10" t="s">
        <v>34</v>
      </c>
      <c r="C46" s="10" t="s">
        <v>400</v>
      </c>
      <c r="D46" s="1" t="s">
        <v>423</v>
      </c>
      <c r="E46" s="41" t="s">
        <v>424</v>
      </c>
      <c r="F46" s="41" t="s">
        <v>425</v>
      </c>
      <c r="G46" s="41" t="s">
        <v>426</v>
      </c>
      <c r="H46" s="41" t="s">
        <v>427</v>
      </c>
      <c r="I46" s="41" t="s">
        <v>428</v>
      </c>
      <c r="J46" s="4">
        <f t="shared" si="2"/>
        <v>2</v>
      </c>
      <c r="K46" s="4" t="s">
        <v>100</v>
      </c>
      <c r="L46" s="4" t="s">
        <v>159</v>
      </c>
      <c r="M46" s="41" t="s">
        <v>130</v>
      </c>
      <c r="N46" s="4" t="s">
        <v>65</v>
      </c>
      <c r="O46" s="40">
        <f t="shared" si="3"/>
        <v>2.0095399999999999</v>
      </c>
    </row>
    <row r="47" spans="1:15" ht="75" customHeight="1" x14ac:dyDescent="0.25">
      <c r="A47" s="9" t="s">
        <v>429</v>
      </c>
      <c r="B47" s="10" t="s">
        <v>34</v>
      </c>
      <c r="C47" s="10" t="s">
        <v>400</v>
      </c>
      <c r="D47" s="1" t="s">
        <v>430</v>
      </c>
      <c r="E47" s="41" t="s">
        <v>431</v>
      </c>
      <c r="F47" s="41" t="s">
        <v>432</v>
      </c>
      <c r="G47" s="41" t="s">
        <v>433</v>
      </c>
      <c r="H47" s="41" t="s">
        <v>434</v>
      </c>
      <c r="I47" s="41" t="s">
        <v>435</v>
      </c>
      <c r="J47" s="4">
        <f t="shared" si="2"/>
        <v>3</v>
      </c>
      <c r="K47" s="4" t="s">
        <v>62</v>
      </c>
      <c r="L47" s="4" t="s">
        <v>208</v>
      </c>
      <c r="M47" s="41" t="s">
        <v>64</v>
      </c>
      <c r="N47" s="4" t="s">
        <v>65</v>
      </c>
      <c r="O47" s="40">
        <f t="shared" si="3"/>
        <v>3.0095299999999998</v>
      </c>
    </row>
    <row r="48" spans="1:15" ht="75" customHeight="1" x14ac:dyDescent="0.25">
      <c r="A48" s="9" t="s">
        <v>436</v>
      </c>
      <c r="B48" s="10" t="s">
        <v>34</v>
      </c>
      <c r="C48" s="10" t="s">
        <v>437</v>
      </c>
      <c r="D48" s="1" t="s">
        <v>438</v>
      </c>
      <c r="E48" s="41" t="s">
        <v>439</v>
      </c>
      <c r="F48" s="41" t="s">
        <v>440</v>
      </c>
      <c r="G48" s="41" t="s">
        <v>441</v>
      </c>
      <c r="H48" s="41" t="s">
        <v>442</v>
      </c>
      <c r="I48" s="41" t="s">
        <v>443</v>
      </c>
      <c r="J48" s="4">
        <f t="shared" si="2"/>
        <v>1</v>
      </c>
      <c r="K48" s="4" t="s">
        <v>321</v>
      </c>
      <c r="L48" s="4" t="s">
        <v>321</v>
      </c>
      <c r="M48" s="41" t="s">
        <v>444</v>
      </c>
      <c r="N48" s="4" t="s">
        <v>65</v>
      </c>
      <c r="O48" s="40">
        <f t="shared" si="3"/>
        <v>1.00952</v>
      </c>
    </row>
    <row r="49" spans="1:15" ht="75" customHeight="1" x14ac:dyDescent="0.25">
      <c r="A49" s="9" t="s">
        <v>445</v>
      </c>
      <c r="B49" s="10" t="s">
        <v>34</v>
      </c>
      <c r="C49" s="10" t="s">
        <v>437</v>
      </c>
      <c r="D49" s="1" t="s">
        <v>446</v>
      </c>
      <c r="E49" s="41" t="s">
        <v>447</v>
      </c>
      <c r="F49" s="41" t="s">
        <v>448</v>
      </c>
      <c r="G49" s="41" t="s">
        <v>449</v>
      </c>
      <c r="H49" s="41" t="s">
        <v>450</v>
      </c>
      <c r="I49" s="41" t="s">
        <v>451</v>
      </c>
      <c r="J49" s="4">
        <f t="shared" si="2"/>
        <v>2</v>
      </c>
      <c r="K49" s="4" t="s">
        <v>207</v>
      </c>
      <c r="L49" s="4" t="s">
        <v>101</v>
      </c>
      <c r="M49" s="41" t="s">
        <v>64</v>
      </c>
      <c r="N49" s="4" t="s">
        <v>65</v>
      </c>
      <c r="O49" s="40">
        <f t="shared" si="3"/>
        <v>2.0095100000000001</v>
      </c>
    </row>
    <row r="50" spans="1:15" ht="75" customHeight="1" x14ac:dyDescent="0.25">
      <c r="A50" s="9" t="s">
        <v>452</v>
      </c>
      <c r="B50" s="10" t="s">
        <v>34</v>
      </c>
      <c r="C50" s="10" t="s">
        <v>437</v>
      </c>
      <c r="D50" s="1" t="s">
        <v>453</v>
      </c>
      <c r="E50" s="41" t="s">
        <v>454</v>
      </c>
      <c r="F50" s="41" t="s">
        <v>455</v>
      </c>
      <c r="G50" s="41" t="s">
        <v>456</v>
      </c>
      <c r="H50" s="41" t="s">
        <v>457</v>
      </c>
      <c r="I50" s="41" t="s">
        <v>443</v>
      </c>
      <c r="J50" s="4">
        <f t="shared" si="2"/>
        <v>1</v>
      </c>
      <c r="K50" s="4" t="s">
        <v>321</v>
      </c>
      <c r="L50" s="4" t="s">
        <v>321</v>
      </c>
      <c r="M50" s="41" t="s">
        <v>444</v>
      </c>
      <c r="N50" s="4" t="s">
        <v>65</v>
      </c>
      <c r="O50" s="40">
        <f t="shared" si="3"/>
        <v>1.0095000000000001</v>
      </c>
    </row>
    <row r="51" spans="1:15" ht="87.6" customHeight="1" x14ac:dyDescent="0.25">
      <c r="A51" s="9" t="s">
        <v>458</v>
      </c>
      <c r="B51" s="10" t="s">
        <v>34</v>
      </c>
      <c r="C51" s="10" t="s">
        <v>459</v>
      </c>
      <c r="D51" s="1" t="s">
        <v>460</v>
      </c>
      <c r="E51" s="41" t="s">
        <v>461</v>
      </c>
      <c r="F51" s="41" t="s">
        <v>462</v>
      </c>
      <c r="G51" s="41" t="s">
        <v>463</v>
      </c>
      <c r="H51" s="41" t="s">
        <v>464</v>
      </c>
      <c r="I51" s="41" t="s">
        <v>465</v>
      </c>
      <c r="J51" s="4">
        <f t="shared" si="2"/>
        <v>5</v>
      </c>
      <c r="K51" s="4" t="s">
        <v>183</v>
      </c>
      <c r="L51" s="4" t="s">
        <v>149</v>
      </c>
      <c r="M51" s="41" t="s">
        <v>64</v>
      </c>
      <c r="N51" s="4" t="s">
        <v>65</v>
      </c>
      <c r="O51" s="40">
        <f t="shared" si="3"/>
        <v>5.0094900000000004</v>
      </c>
    </row>
    <row r="52" spans="1:15" ht="62.45" customHeight="1" x14ac:dyDescent="0.25">
      <c r="A52" s="9" t="s">
        <v>466</v>
      </c>
      <c r="B52" s="10" t="s">
        <v>34</v>
      </c>
      <c r="C52" s="10" t="s">
        <v>467</v>
      </c>
      <c r="D52" s="1" t="s">
        <v>468</v>
      </c>
      <c r="E52" s="41" t="s">
        <v>469</v>
      </c>
      <c r="F52" s="41" t="s">
        <v>470</v>
      </c>
      <c r="G52" s="41" t="s">
        <v>471</v>
      </c>
      <c r="H52" s="41" t="s">
        <v>472</v>
      </c>
      <c r="I52" s="41" t="s">
        <v>473</v>
      </c>
      <c r="J52" s="4">
        <f t="shared" si="2"/>
        <v>1</v>
      </c>
      <c r="K52" s="4" t="s">
        <v>140</v>
      </c>
      <c r="L52" s="4" t="s">
        <v>140</v>
      </c>
      <c r="M52" s="41" t="s">
        <v>64</v>
      </c>
      <c r="N52" s="4" t="s">
        <v>65</v>
      </c>
      <c r="O52" s="40">
        <f t="shared" si="3"/>
        <v>1.0094799999999999</v>
      </c>
    </row>
    <row r="53" spans="1:15" ht="125.1" customHeight="1" x14ac:dyDescent="0.25">
      <c r="A53" s="9" t="s">
        <v>474</v>
      </c>
      <c r="B53" s="10" t="s">
        <v>34</v>
      </c>
      <c r="C53" s="10" t="s">
        <v>467</v>
      </c>
      <c r="D53" s="1" t="s">
        <v>475</v>
      </c>
      <c r="E53" s="41" t="s">
        <v>476</v>
      </c>
      <c r="F53" s="41" t="s">
        <v>477</v>
      </c>
      <c r="G53" s="41" t="s">
        <v>478</v>
      </c>
      <c r="H53" s="41" t="s">
        <v>479</v>
      </c>
      <c r="I53" s="41" t="s">
        <v>480</v>
      </c>
      <c r="J53" s="4">
        <f t="shared" si="2"/>
        <v>2</v>
      </c>
      <c r="K53" s="4" t="s">
        <v>360</v>
      </c>
      <c r="L53" s="4" t="s">
        <v>100</v>
      </c>
      <c r="M53" s="41" t="s">
        <v>64</v>
      </c>
      <c r="N53" s="4" t="s">
        <v>65</v>
      </c>
      <c r="O53" s="40">
        <f t="shared" si="3"/>
        <v>2.0094699999999999</v>
      </c>
    </row>
    <row r="54" spans="1:15" ht="75" customHeight="1" x14ac:dyDescent="0.25">
      <c r="A54" s="11" t="s">
        <v>481</v>
      </c>
      <c r="B54" s="12" t="s">
        <v>35</v>
      </c>
      <c r="C54" s="12" t="s">
        <v>482</v>
      </c>
      <c r="D54" s="1" t="s">
        <v>483</v>
      </c>
      <c r="E54" s="41" t="s">
        <v>484</v>
      </c>
      <c r="F54" s="41" t="s">
        <v>485</v>
      </c>
      <c r="G54" s="41" t="s">
        <v>486</v>
      </c>
      <c r="H54" s="41" t="s">
        <v>487</v>
      </c>
      <c r="I54" s="41" t="s">
        <v>488</v>
      </c>
      <c r="J54" s="4">
        <f t="shared" si="2"/>
        <v>2</v>
      </c>
      <c r="K54" s="4" t="s">
        <v>207</v>
      </c>
      <c r="L54" s="4" t="s">
        <v>120</v>
      </c>
      <c r="M54" s="41" t="s">
        <v>64</v>
      </c>
      <c r="N54" s="4" t="s">
        <v>65</v>
      </c>
      <c r="O54" s="40">
        <f t="shared" si="3"/>
        <v>2.0094599999999998</v>
      </c>
    </row>
    <row r="55" spans="1:15" ht="75" customHeight="1" x14ac:dyDescent="0.25">
      <c r="A55" s="11" t="s">
        <v>489</v>
      </c>
      <c r="B55" s="12" t="s">
        <v>35</v>
      </c>
      <c r="C55" s="12" t="s">
        <v>490</v>
      </c>
      <c r="D55" s="1" t="s">
        <v>491</v>
      </c>
      <c r="E55" s="41" t="s">
        <v>492</v>
      </c>
      <c r="F55" s="41" t="s">
        <v>493</v>
      </c>
      <c r="G55" s="41" t="s">
        <v>494</v>
      </c>
      <c r="H55" s="41" t="s">
        <v>495</v>
      </c>
      <c r="I55" s="41" t="s">
        <v>496</v>
      </c>
      <c r="J55" s="4">
        <f t="shared" si="2"/>
        <v>4</v>
      </c>
      <c r="K55" s="4" t="s">
        <v>73</v>
      </c>
      <c r="L55" s="4" t="s">
        <v>74</v>
      </c>
      <c r="M55" s="41" t="s">
        <v>130</v>
      </c>
      <c r="N55" s="4" t="s">
        <v>65</v>
      </c>
      <c r="O55" s="40">
        <f t="shared" si="3"/>
        <v>4.0094500000000002</v>
      </c>
    </row>
    <row r="56" spans="1:15" ht="99.95" customHeight="1" x14ac:dyDescent="0.25">
      <c r="A56" s="11" t="s">
        <v>497</v>
      </c>
      <c r="B56" s="12" t="s">
        <v>35</v>
      </c>
      <c r="C56" s="12" t="s">
        <v>35</v>
      </c>
      <c r="D56" s="1" t="s">
        <v>498</v>
      </c>
      <c r="E56" s="41" t="s">
        <v>499</v>
      </c>
      <c r="F56" s="41" t="s">
        <v>500</v>
      </c>
      <c r="G56" s="41" t="s">
        <v>501</v>
      </c>
      <c r="H56" s="41" t="s">
        <v>502</v>
      </c>
      <c r="I56" s="41" t="s">
        <v>503</v>
      </c>
      <c r="J56" s="4">
        <f t="shared" si="2"/>
        <v>2</v>
      </c>
      <c r="K56" s="4" t="s">
        <v>504</v>
      </c>
      <c r="L56" s="4" t="s">
        <v>63</v>
      </c>
      <c r="M56" s="41" t="s">
        <v>130</v>
      </c>
      <c r="N56" s="4" t="s">
        <v>65</v>
      </c>
      <c r="O56" s="40">
        <f t="shared" si="3"/>
        <v>2.0094400000000001</v>
      </c>
    </row>
    <row r="57" spans="1:15" ht="150" customHeight="1" x14ac:dyDescent="0.25">
      <c r="A57" s="11" t="s">
        <v>505</v>
      </c>
      <c r="B57" s="12" t="s">
        <v>35</v>
      </c>
      <c r="C57" s="12" t="s">
        <v>506</v>
      </c>
      <c r="D57" s="1" t="s">
        <v>507</v>
      </c>
      <c r="E57" s="41" t="s">
        <v>508</v>
      </c>
      <c r="F57" s="41" t="s">
        <v>509</v>
      </c>
      <c r="G57" s="41" t="s">
        <v>510</v>
      </c>
      <c r="H57" s="41" t="s">
        <v>511</v>
      </c>
      <c r="I57" s="41" t="s">
        <v>512</v>
      </c>
      <c r="J57" s="4">
        <f t="shared" si="2"/>
        <v>9</v>
      </c>
      <c r="K57" s="4" t="s">
        <v>62</v>
      </c>
      <c r="L57" s="4" t="s">
        <v>74</v>
      </c>
      <c r="M57" s="41" t="s">
        <v>64</v>
      </c>
      <c r="N57" s="4" t="s">
        <v>65</v>
      </c>
      <c r="O57" s="40">
        <f t="shared" si="3"/>
        <v>9.00943</v>
      </c>
    </row>
    <row r="58" spans="1:15" ht="75" customHeight="1" x14ac:dyDescent="0.25">
      <c r="A58" s="11" t="s">
        <v>513</v>
      </c>
      <c r="B58" s="12" t="s">
        <v>35</v>
      </c>
      <c r="C58" s="12" t="s">
        <v>506</v>
      </c>
      <c r="D58" s="1" t="s">
        <v>514</v>
      </c>
      <c r="E58" s="41" t="s">
        <v>515</v>
      </c>
      <c r="F58" s="41" t="s">
        <v>516</v>
      </c>
      <c r="G58" s="41" t="s">
        <v>517</v>
      </c>
      <c r="H58" s="41" t="s">
        <v>518</v>
      </c>
      <c r="I58" s="41" t="s">
        <v>519</v>
      </c>
      <c r="J58" s="4">
        <f t="shared" si="2"/>
        <v>3</v>
      </c>
      <c r="K58" s="4" t="s">
        <v>62</v>
      </c>
      <c r="L58" s="4" t="s">
        <v>148</v>
      </c>
      <c r="M58" s="41" t="s">
        <v>64</v>
      </c>
      <c r="N58" s="4" t="s">
        <v>65</v>
      </c>
      <c r="O58" s="40">
        <f t="shared" si="3"/>
        <v>3.00942</v>
      </c>
    </row>
    <row r="59" spans="1:15" ht="75" customHeight="1" x14ac:dyDescent="0.25">
      <c r="A59" s="11" t="s">
        <v>520</v>
      </c>
      <c r="B59" s="12" t="s">
        <v>35</v>
      </c>
      <c r="C59" s="12" t="s">
        <v>521</v>
      </c>
      <c r="D59" s="1" t="s">
        <v>522</v>
      </c>
      <c r="E59" s="41" t="s">
        <v>523</v>
      </c>
      <c r="F59" s="41" t="s">
        <v>524</v>
      </c>
      <c r="G59" s="41" t="s">
        <v>525</v>
      </c>
      <c r="H59" s="41" t="s">
        <v>526</v>
      </c>
      <c r="I59" s="41" t="s">
        <v>527</v>
      </c>
      <c r="J59" s="4">
        <f t="shared" si="2"/>
        <v>2</v>
      </c>
      <c r="K59" s="4" t="s">
        <v>321</v>
      </c>
      <c r="L59" s="4" t="s">
        <v>208</v>
      </c>
      <c r="M59" s="41" t="s">
        <v>528</v>
      </c>
      <c r="N59" s="4" t="s">
        <v>65</v>
      </c>
      <c r="O59" s="40">
        <f t="shared" si="3"/>
        <v>2.0094099999999999</v>
      </c>
    </row>
    <row r="60" spans="1:15" ht="75" customHeight="1" x14ac:dyDescent="0.25">
      <c r="A60" s="11" t="s">
        <v>529</v>
      </c>
      <c r="B60" s="12" t="s">
        <v>35</v>
      </c>
      <c r="C60" s="12" t="s">
        <v>521</v>
      </c>
      <c r="D60" s="1" t="s">
        <v>530</v>
      </c>
      <c r="E60" s="41" t="s">
        <v>531</v>
      </c>
      <c r="F60" s="41" t="s">
        <v>532</v>
      </c>
      <c r="G60" s="41" t="s">
        <v>533</v>
      </c>
      <c r="H60" s="41" t="s">
        <v>534</v>
      </c>
      <c r="I60" s="41" t="s">
        <v>535</v>
      </c>
      <c r="J60" s="4">
        <f t="shared" si="2"/>
        <v>2</v>
      </c>
      <c r="K60" s="4" t="s">
        <v>148</v>
      </c>
      <c r="L60" s="4" t="s">
        <v>265</v>
      </c>
      <c r="M60" s="41" t="s">
        <v>150</v>
      </c>
      <c r="N60" s="4" t="s">
        <v>65</v>
      </c>
      <c r="O60" s="40">
        <f t="shared" si="3"/>
        <v>2.0093999999999999</v>
      </c>
    </row>
    <row r="61" spans="1:15" ht="112.5" customHeight="1" x14ac:dyDescent="0.25">
      <c r="A61" s="11" t="s">
        <v>536</v>
      </c>
      <c r="B61" s="12" t="s">
        <v>35</v>
      </c>
      <c r="C61" s="12" t="s">
        <v>537</v>
      </c>
      <c r="D61" s="1" t="s">
        <v>538</v>
      </c>
      <c r="E61" s="41" t="s">
        <v>539</v>
      </c>
      <c r="F61" s="41" t="s">
        <v>540</v>
      </c>
      <c r="G61" s="41" t="s">
        <v>541</v>
      </c>
      <c r="H61" s="41" t="s">
        <v>542</v>
      </c>
      <c r="I61" s="41" t="s">
        <v>543</v>
      </c>
      <c r="J61" s="4">
        <f t="shared" si="2"/>
        <v>4</v>
      </c>
      <c r="K61" s="4" t="s">
        <v>297</v>
      </c>
      <c r="L61" s="4" t="s">
        <v>74</v>
      </c>
      <c r="M61" s="41" t="s">
        <v>64</v>
      </c>
      <c r="N61" s="4" t="s">
        <v>65</v>
      </c>
      <c r="O61" s="40">
        <f t="shared" si="3"/>
        <v>4.0093899999999998</v>
      </c>
    </row>
    <row r="62" spans="1:15" ht="112.5" customHeight="1" x14ac:dyDescent="0.25">
      <c r="A62" s="11" t="s">
        <v>544</v>
      </c>
      <c r="B62" s="12" t="s">
        <v>35</v>
      </c>
      <c r="C62" s="12" t="s">
        <v>537</v>
      </c>
      <c r="D62" s="1" t="s">
        <v>545</v>
      </c>
      <c r="E62" s="41" t="s">
        <v>546</v>
      </c>
      <c r="F62" s="41" t="s">
        <v>547</v>
      </c>
      <c r="G62" s="41" t="s">
        <v>548</v>
      </c>
      <c r="H62" s="41" t="s">
        <v>549</v>
      </c>
      <c r="I62" s="41" t="s">
        <v>550</v>
      </c>
      <c r="J62" s="4">
        <f t="shared" si="2"/>
        <v>4</v>
      </c>
      <c r="K62" s="4" t="s">
        <v>265</v>
      </c>
      <c r="L62" s="4" t="s">
        <v>74</v>
      </c>
      <c r="M62" s="41" t="s">
        <v>64</v>
      </c>
      <c r="N62" s="4" t="s">
        <v>65</v>
      </c>
      <c r="O62" s="40">
        <f t="shared" si="3"/>
        <v>4.0093800000000002</v>
      </c>
    </row>
    <row r="63" spans="1:15" ht="87.6" customHeight="1" x14ac:dyDescent="0.25">
      <c r="A63" s="13" t="s">
        <v>551</v>
      </c>
      <c r="B63" s="14" t="s">
        <v>36</v>
      </c>
      <c r="C63" s="14" t="s">
        <v>552</v>
      </c>
      <c r="D63" s="1" t="s">
        <v>553</v>
      </c>
      <c r="E63" s="41" t="s">
        <v>554</v>
      </c>
      <c r="F63" s="41" t="s">
        <v>555</v>
      </c>
      <c r="G63" s="41" t="s">
        <v>556</v>
      </c>
      <c r="H63" s="41" t="s">
        <v>557</v>
      </c>
      <c r="I63" s="41" t="s">
        <v>558</v>
      </c>
      <c r="J63" s="4">
        <f t="shared" si="2"/>
        <v>1</v>
      </c>
      <c r="K63" s="4" t="s">
        <v>101</v>
      </c>
      <c r="L63" s="4" t="s">
        <v>101</v>
      </c>
      <c r="M63" s="41" t="s">
        <v>64</v>
      </c>
      <c r="N63" s="4" t="s">
        <v>559</v>
      </c>
      <c r="O63" s="40">
        <f t="shared" si="3"/>
        <v>1.0093700000000001</v>
      </c>
    </row>
    <row r="64" spans="1:15" ht="75" customHeight="1" x14ac:dyDescent="0.25">
      <c r="A64" s="13" t="s">
        <v>560</v>
      </c>
      <c r="B64" s="14" t="s">
        <v>36</v>
      </c>
      <c r="C64" s="14" t="s">
        <v>561</v>
      </c>
      <c r="D64" s="1" t="s">
        <v>562</v>
      </c>
      <c r="E64" s="41" t="s">
        <v>563</v>
      </c>
      <c r="F64" s="41" t="s">
        <v>564</v>
      </c>
      <c r="G64" s="41" t="s">
        <v>565</v>
      </c>
      <c r="H64" s="41" t="s">
        <v>566</v>
      </c>
      <c r="I64" s="41" t="s">
        <v>567</v>
      </c>
      <c r="J64" s="4">
        <f t="shared" si="2"/>
        <v>3</v>
      </c>
      <c r="K64" s="4" t="s">
        <v>183</v>
      </c>
      <c r="L64" s="4" t="s">
        <v>101</v>
      </c>
      <c r="M64" s="41" t="s">
        <v>130</v>
      </c>
      <c r="N64" s="4" t="s">
        <v>65</v>
      </c>
      <c r="O64" s="40">
        <f t="shared" si="3"/>
        <v>3.00936</v>
      </c>
    </row>
    <row r="65" spans="1:15" ht="87.6" customHeight="1" x14ac:dyDescent="0.25">
      <c r="A65" s="13" t="s">
        <v>568</v>
      </c>
      <c r="B65" s="14" t="s">
        <v>36</v>
      </c>
      <c r="C65" s="14" t="s">
        <v>561</v>
      </c>
      <c r="D65" s="1" t="s">
        <v>569</v>
      </c>
      <c r="E65" s="41" t="s">
        <v>570</v>
      </c>
      <c r="F65" s="41" t="s">
        <v>571</v>
      </c>
      <c r="G65" s="41" t="s">
        <v>572</v>
      </c>
      <c r="H65" s="41" t="s">
        <v>573</v>
      </c>
      <c r="I65" s="41" t="s">
        <v>443</v>
      </c>
      <c r="J65" s="4">
        <f t="shared" si="2"/>
        <v>1</v>
      </c>
      <c r="K65" s="4" t="s">
        <v>321</v>
      </c>
      <c r="L65" s="4" t="s">
        <v>321</v>
      </c>
      <c r="M65" s="41" t="s">
        <v>574</v>
      </c>
      <c r="N65" s="4" t="s">
        <v>65</v>
      </c>
      <c r="O65" s="40">
        <f t="shared" si="3"/>
        <v>1.00935</v>
      </c>
    </row>
    <row r="66" spans="1:15" ht="87.6" customHeight="1" x14ac:dyDescent="0.25">
      <c r="A66" s="13" t="s">
        <v>575</v>
      </c>
      <c r="B66" s="14" t="s">
        <v>36</v>
      </c>
      <c r="C66" s="14" t="s">
        <v>576</v>
      </c>
      <c r="D66" s="1" t="s">
        <v>577</v>
      </c>
      <c r="E66" s="41" t="s">
        <v>578</v>
      </c>
      <c r="F66" s="41" t="s">
        <v>579</v>
      </c>
      <c r="G66" s="41" t="s">
        <v>580</v>
      </c>
      <c r="H66" s="41" t="s">
        <v>581</v>
      </c>
      <c r="I66" s="41" t="s">
        <v>582</v>
      </c>
      <c r="J66" s="4">
        <f t="shared" ref="J66:J97" si="4">LEN(I66)-LEN(SUBSTITUTE(I66,"F",""))</f>
        <v>3</v>
      </c>
      <c r="K66" s="4" t="s">
        <v>62</v>
      </c>
      <c r="L66" s="4" t="s">
        <v>321</v>
      </c>
      <c r="M66" s="41" t="s">
        <v>64</v>
      </c>
      <c r="N66" s="4" t="s">
        <v>65</v>
      </c>
      <c r="O66" s="40">
        <f t="shared" ref="O66:O73" si="5">J66+(1000-ROW())/100000</f>
        <v>3.0093399999999999</v>
      </c>
    </row>
    <row r="67" spans="1:15" ht="75" customHeight="1" x14ac:dyDescent="0.25">
      <c r="A67" s="13" t="s">
        <v>583</v>
      </c>
      <c r="B67" s="14" t="s">
        <v>36</v>
      </c>
      <c r="C67" s="14" t="s">
        <v>576</v>
      </c>
      <c r="D67" s="1" t="s">
        <v>584</v>
      </c>
      <c r="E67" s="41" t="s">
        <v>585</v>
      </c>
      <c r="F67" s="41" t="s">
        <v>586</v>
      </c>
      <c r="G67" s="41" t="s">
        <v>587</v>
      </c>
      <c r="H67" s="41" t="s">
        <v>588</v>
      </c>
      <c r="I67" s="41" t="s">
        <v>589</v>
      </c>
      <c r="J67" s="4">
        <f t="shared" si="4"/>
        <v>2</v>
      </c>
      <c r="K67" s="4" t="s">
        <v>360</v>
      </c>
      <c r="L67" s="4" t="s">
        <v>216</v>
      </c>
      <c r="M67" s="41" t="s">
        <v>361</v>
      </c>
      <c r="N67" s="4" t="s">
        <v>65</v>
      </c>
      <c r="O67" s="40">
        <f t="shared" si="5"/>
        <v>2.0093299999999998</v>
      </c>
    </row>
    <row r="68" spans="1:15" ht="125.1" customHeight="1" x14ac:dyDescent="0.25">
      <c r="A68" s="13" t="s">
        <v>590</v>
      </c>
      <c r="B68" s="14" t="s">
        <v>36</v>
      </c>
      <c r="C68" s="14" t="s">
        <v>591</v>
      </c>
      <c r="D68" s="1" t="s">
        <v>592</v>
      </c>
      <c r="E68" s="41" t="s">
        <v>593</v>
      </c>
      <c r="F68" s="41" t="s">
        <v>594</v>
      </c>
      <c r="G68" s="41" t="s">
        <v>595</v>
      </c>
      <c r="H68" s="41" t="s">
        <v>596</v>
      </c>
      <c r="I68" s="41" t="s">
        <v>597</v>
      </c>
      <c r="J68" s="4">
        <f t="shared" si="4"/>
        <v>4</v>
      </c>
      <c r="K68" s="4" t="s">
        <v>207</v>
      </c>
      <c r="L68" s="4" t="s">
        <v>74</v>
      </c>
      <c r="M68" s="41" t="s">
        <v>75</v>
      </c>
      <c r="N68" s="4" t="s">
        <v>65</v>
      </c>
      <c r="O68" s="40">
        <f t="shared" si="5"/>
        <v>4.0093199999999998</v>
      </c>
    </row>
    <row r="69" spans="1:15" ht="87.6" customHeight="1" x14ac:dyDescent="0.25">
      <c r="A69" s="13" t="s">
        <v>598</v>
      </c>
      <c r="B69" s="14" t="s">
        <v>36</v>
      </c>
      <c r="C69" s="14" t="s">
        <v>599</v>
      </c>
      <c r="D69" s="1" t="s">
        <v>600</v>
      </c>
      <c r="E69" s="41" t="s">
        <v>601</v>
      </c>
      <c r="F69" s="41" t="s">
        <v>602</v>
      </c>
      <c r="G69" s="41" t="s">
        <v>603</v>
      </c>
      <c r="H69" s="41" t="s">
        <v>604</v>
      </c>
      <c r="I69" s="41" t="s">
        <v>605</v>
      </c>
      <c r="J69" s="4">
        <f t="shared" si="4"/>
        <v>3</v>
      </c>
      <c r="K69" s="4" t="s">
        <v>120</v>
      </c>
      <c r="L69" s="4" t="s">
        <v>149</v>
      </c>
      <c r="M69" s="41" t="s">
        <v>64</v>
      </c>
      <c r="N69" s="4" t="s">
        <v>65</v>
      </c>
      <c r="O69" s="40">
        <f t="shared" si="5"/>
        <v>3.0093100000000002</v>
      </c>
    </row>
    <row r="70" spans="1:15" ht="112.5" customHeight="1" x14ac:dyDescent="0.25">
      <c r="A70" s="13" t="s">
        <v>606</v>
      </c>
      <c r="B70" s="14" t="s">
        <v>36</v>
      </c>
      <c r="C70" s="14" t="s">
        <v>607</v>
      </c>
      <c r="D70" s="1" t="s">
        <v>608</v>
      </c>
      <c r="E70" s="41" t="s">
        <v>609</v>
      </c>
      <c r="F70" s="41" t="s">
        <v>610</v>
      </c>
      <c r="G70" s="41" t="s">
        <v>611</v>
      </c>
      <c r="H70" s="41" t="s">
        <v>612</v>
      </c>
      <c r="I70" s="41" t="s">
        <v>613</v>
      </c>
      <c r="J70" s="4">
        <f t="shared" si="4"/>
        <v>5</v>
      </c>
      <c r="K70" s="4" t="s">
        <v>183</v>
      </c>
      <c r="L70" s="4" t="s">
        <v>74</v>
      </c>
      <c r="M70" s="41" t="s">
        <v>64</v>
      </c>
      <c r="N70" s="4" t="s">
        <v>65</v>
      </c>
      <c r="O70" s="40">
        <f t="shared" si="5"/>
        <v>5.0092999999999996</v>
      </c>
    </row>
    <row r="71" spans="1:15" ht="75" customHeight="1" x14ac:dyDescent="0.25">
      <c r="A71" s="13" t="s">
        <v>614</v>
      </c>
      <c r="B71" s="14" t="s">
        <v>36</v>
      </c>
      <c r="C71" s="14" t="s">
        <v>615</v>
      </c>
      <c r="D71" s="1" t="s">
        <v>616</v>
      </c>
      <c r="E71" s="41" t="s">
        <v>617</v>
      </c>
      <c r="F71" s="41" t="s">
        <v>618</v>
      </c>
      <c r="G71" s="41" t="s">
        <v>619</v>
      </c>
      <c r="H71" s="41" t="s">
        <v>620</v>
      </c>
      <c r="I71" s="41" t="s">
        <v>621</v>
      </c>
      <c r="J71" s="4">
        <f t="shared" si="4"/>
        <v>3</v>
      </c>
      <c r="K71" s="4" t="s">
        <v>207</v>
      </c>
      <c r="L71" s="4" t="s">
        <v>120</v>
      </c>
      <c r="M71" s="41" t="s">
        <v>75</v>
      </c>
      <c r="N71" s="4" t="s">
        <v>65</v>
      </c>
      <c r="O71" s="40">
        <f t="shared" si="5"/>
        <v>3.00929</v>
      </c>
    </row>
    <row r="72" spans="1:15" ht="87.6" customHeight="1" x14ac:dyDescent="0.25">
      <c r="A72" s="13" t="s">
        <v>622</v>
      </c>
      <c r="B72" s="14" t="s">
        <v>36</v>
      </c>
      <c r="C72" s="14" t="s">
        <v>623</v>
      </c>
      <c r="D72" s="1" t="s">
        <v>624</v>
      </c>
      <c r="E72" s="41" t="s">
        <v>625</v>
      </c>
      <c r="F72" s="41" t="s">
        <v>626</v>
      </c>
      <c r="G72" s="41" t="s">
        <v>627</v>
      </c>
      <c r="H72" s="41" t="s">
        <v>628</v>
      </c>
      <c r="I72" s="41" t="s">
        <v>629</v>
      </c>
      <c r="J72" s="4">
        <f t="shared" si="4"/>
        <v>2</v>
      </c>
      <c r="K72" s="4" t="s">
        <v>207</v>
      </c>
      <c r="L72" s="4" t="s">
        <v>148</v>
      </c>
      <c r="M72" s="41" t="s">
        <v>64</v>
      </c>
      <c r="N72" s="4" t="s">
        <v>65</v>
      </c>
      <c r="O72" s="40">
        <f t="shared" si="5"/>
        <v>2.00928</v>
      </c>
    </row>
    <row r="73" spans="1:15" ht="87.6" customHeight="1" x14ac:dyDescent="0.25">
      <c r="A73" s="13" t="s">
        <v>630</v>
      </c>
      <c r="B73" s="14" t="s">
        <v>36</v>
      </c>
      <c r="C73" s="14" t="s">
        <v>631</v>
      </c>
      <c r="D73" s="1" t="s">
        <v>632</v>
      </c>
      <c r="E73" s="41" t="s">
        <v>633</v>
      </c>
      <c r="F73" s="41" t="s">
        <v>634</v>
      </c>
      <c r="G73" s="41" t="s">
        <v>635</v>
      </c>
      <c r="H73" s="41" t="s">
        <v>636</v>
      </c>
      <c r="I73" s="41" t="s">
        <v>637</v>
      </c>
      <c r="J73" s="4">
        <f t="shared" si="4"/>
        <v>3</v>
      </c>
      <c r="K73" s="4" t="s">
        <v>140</v>
      </c>
      <c r="L73" s="4" t="s">
        <v>120</v>
      </c>
      <c r="M73" s="41" t="s">
        <v>64</v>
      </c>
      <c r="N73" s="4" t="s">
        <v>65</v>
      </c>
      <c r="O73" s="40">
        <f t="shared" si="5"/>
        <v>3.0092699999999999</v>
      </c>
    </row>
  </sheetData>
  <autoFilter ref="A1:O73"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4"/>
  <sheetViews>
    <sheetView workbookViewId="0">
      <pane ySplit="1" topLeftCell="A2" activePane="bottomLeft" state="frozen"/>
      <selection pane="bottomLeft"/>
    </sheetView>
  </sheetViews>
  <sheetFormatPr defaultRowHeight="15" x14ac:dyDescent="0.25"/>
  <cols>
    <col min="1" max="1" width="26" customWidth="1"/>
    <col min="2" max="2" width="22" customWidth="1"/>
    <col min="3" max="3" width="14" customWidth="1"/>
    <col min="4" max="4" width="30" customWidth="1"/>
  </cols>
  <sheetData>
    <row r="1" spans="1:4" ht="25.5" customHeight="1" x14ac:dyDescent="0.25">
      <c r="A1" s="42" t="s">
        <v>26</v>
      </c>
      <c r="B1" s="42" t="s">
        <v>43</v>
      </c>
      <c r="C1" s="42" t="s">
        <v>27</v>
      </c>
      <c r="D1" s="42" t="s">
        <v>638</v>
      </c>
    </row>
    <row r="2" spans="1:4" x14ac:dyDescent="0.25">
      <c r="A2" s="15" t="s">
        <v>31</v>
      </c>
      <c r="B2" s="27" t="s">
        <v>55</v>
      </c>
      <c r="C2" s="4">
        <f>COUNTIFS(Sintomas!$B$2:$B$73,A2,Sintomas!$C$2:$C$73,B2,Sintomas!$N$2:$N$73,"&lt;&gt;Sem evidência")</f>
        <v>2</v>
      </c>
      <c r="D2" s="4" t="str">
        <f t="shared" ref="D2:D44" si="0">IF(C2=0,"Sem evidência nas fontes",IF(C2=1,"1 sintoma",C2&amp;" sintomas"))</f>
        <v>2 sintomas</v>
      </c>
    </row>
    <row r="3" spans="1:4" x14ac:dyDescent="0.25">
      <c r="A3" s="15" t="s">
        <v>31</v>
      </c>
      <c r="B3" s="27" t="s">
        <v>77</v>
      </c>
      <c r="C3" s="4">
        <f>COUNTIFS(Sintomas!$B$2:$B$73,A3,Sintomas!$C$2:$C$73,B3,Sintomas!$N$2:$N$73,"&lt;&gt;Sem evidência")</f>
        <v>1</v>
      </c>
      <c r="D3" s="4" t="str">
        <f t="shared" si="0"/>
        <v>1 sintoma</v>
      </c>
    </row>
    <row r="4" spans="1:4" x14ac:dyDescent="0.25">
      <c r="A4" s="15" t="s">
        <v>31</v>
      </c>
      <c r="B4" s="27" t="s">
        <v>85</v>
      </c>
      <c r="C4" s="4">
        <f>COUNTIFS(Sintomas!$B$2:$B$73,A4,Sintomas!$C$2:$C$73,B4,Sintomas!$N$2:$N$73,"&lt;&gt;Sem evidência")</f>
        <v>2</v>
      </c>
      <c r="D4" s="4" t="str">
        <f t="shared" si="0"/>
        <v>2 sintomas</v>
      </c>
    </row>
    <row r="5" spans="1:4" x14ac:dyDescent="0.25">
      <c r="A5" s="15" t="s">
        <v>31</v>
      </c>
      <c r="B5" s="27" t="s">
        <v>104</v>
      </c>
      <c r="C5" s="4">
        <f>COUNTIFS(Sintomas!$B$2:$B$73,A5,Sintomas!$C$2:$C$73,B5,Sintomas!$N$2:$N$73,"&lt;&gt;Sem evidência")</f>
        <v>1</v>
      </c>
      <c r="D5" s="4" t="str">
        <f t="shared" si="0"/>
        <v>1 sintoma</v>
      </c>
    </row>
    <row r="6" spans="1:4" x14ac:dyDescent="0.25">
      <c r="A6" s="15" t="s">
        <v>31</v>
      </c>
      <c r="B6" s="27" t="s">
        <v>113</v>
      </c>
      <c r="C6" s="4">
        <f>COUNTIFS(Sintomas!$B$2:$B$73,A6,Sintomas!$C$2:$C$73,B6,Sintomas!$N$2:$N$73,"&lt;&gt;Sem evidência")</f>
        <v>1</v>
      </c>
      <c r="D6" s="4" t="str">
        <f t="shared" si="0"/>
        <v>1 sintoma</v>
      </c>
    </row>
    <row r="7" spans="1:4" x14ac:dyDescent="0.25">
      <c r="A7" s="15" t="s">
        <v>31</v>
      </c>
      <c r="B7" s="27" t="s">
        <v>123</v>
      </c>
      <c r="C7" s="4">
        <f>COUNTIFS(Sintomas!$B$2:$B$73,A7,Sintomas!$C$2:$C$73,B7,Sintomas!$N$2:$N$73,"&lt;&gt;Sem evidência")</f>
        <v>1</v>
      </c>
      <c r="D7" s="4" t="str">
        <f t="shared" si="0"/>
        <v>1 sintoma</v>
      </c>
    </row>
    <row r="8" spans="1:4" x14ac:dyDescent="0.25">
      <c r="A8" s="15" t="s">
        <v>31</v>
      </c>
      <c r="B8" s="27" t="s">
        <v>133</v>
      </c>
      <c r="C8" s="4">
        <f>COUNTIFS(Sintomas!$B$2:$B$73,A8,Sintomas!$C$2:$C$73,B8,Sintomas!$N$2:$N$73,"&lt;&gt;Sem evidência")</f>
        <v>2</v>
      </c>
      <c r="D8" s="4" t="str">
        <f t="shared" si="0"/>
        <v>2 sintomas</v>
      </c>
    </row>
    <row r="9" spans="1:4" x14ac:dyDescent="0.25">
      <c r="A9" s="15" t="s">
        <v>31</v>
      </c>
      <c r="B9" s="27" t="s">
        <v>152</v>
      </c>
      <c r="C9" s="4">
        <f>COUNTIFS(Sintomas!$B$2:$B$73,A9,Sintomas!$C$2:$C$73,B9,Sintomas!$N$2:$N$73,"&lt;&gt;Sem evidência")</f>
        <v>2</v>
      </c>
      <c r="D9" s="4" t="str">
        <f t="shared" si="0"/>
        <v>2 sintomas</v>
      </c>
    </row>
    <row r="10" spans="1:4" x14ac:dyDescent="0.25">
      <c r="A10" s="15" t="s">
        <v>31</v>
      </c>
      <c r="B10" s="27" t="s">
        <v>169</v>
      </c>
      <c r="C10" s="4">
        <f>COUNTIFS(Sintomas!$B$2:$B$73,A10,Sintomas!$C$2:$C$73,B10,Sintomas!$N$2:$N$73,"&lt;&gt;Sem evidência")</f>
        <v>3</v>
      </c>
      <c r="D10" s="4" t="str">
        <f t="shared" si="0"/>
        <v>3 sintomas</v>
      </c>
    </row>
    <row r="11" spans="1:4" x14ac:dyDescent="0.25">
      <c r="A11" s="15" t="s">
        <v>31</v>
      </c>
      <c r="B11" s="27" t="s">
        <v>192</v>
      </c>
      <c r="C11" s="4">
        <f>COUNTIFS(Sintomas!$B$2:$B$73,A11,Sintomas!$C$2:$C$73,B11,Sintomas!$N$2:$N$73,"&lt;&gt;Sem evidência")</f>
        <v>1</v>
      </c>
      <c r="D11" s="4" t="str">
        <f t="shared" si="0"/>
        <v>1 sintoma</v>
      </c>
    </row>
    <row r="12" spans="1:4" x14ac:dyDescent="0.25">
      <c r="A12" s="17" t="s">
        <v>32</v>
      </c>
      <c r="B12" s="27" t="s">
        <v>200</v>
      </c>
      <c r="C12" s="4">
        <f>COUNTIFS(Sintomas!$B$2:$B$73,A12,Sintomas!$C$2:$C$73,B12,Sintomas!$N$2:$N$73,"&lt;&gt;Sem evidência")</f>
        <v>2</v>
      </c>
      <c r="D12" s="4" t="str">
        <f t="shared" si="0"/>
        <v>2 sintomas</v>
      </c>
    </row>
    <row r="13" spans="1:4" x14ac:dyDescent="0.25">
      <c r="A13" s="17" t="s">
        <v>32</v>
      </c>
      <c r="B13" s="27" t="s">
        <v>218</v>
      </c>
      <c r="C13" s="4">
        <f>COUNTIFS(Sintomas!$B$2:$B$73,A13,Sintomas!$C$2:$C$73,B13,Sintomas!$N$2:$N$73,"&lt;&gt;Sem evidência")</f>
        <v>1</v>
      </c>
      <c r="D13" s="4" t="str">
        <f t="shared" si="0"/>
        <v>1 sintoma</v>
      </c>
    </row>
    <row r="14" spans="1:4" x14ac:dyDescent="0.25">
      <c r="A14" s="17" t="s">
        <v>32</v>
      </c>
      <c r="B14" s="27" t="s">
        <v>226</v>
      </c>
      <c r="C14" s="4">
        <f>COUNTIFS(Sintomas!$B$2:$B$73,A14,Sintomas!$C$2:$C$73,B14,Sintomas!$N$2:$N$73,"&lt;&gt;Sem evidência")</f>
        <v>1</v>
      </c>
      <c r="D14" s="4" t="str">
        <f t="shared" si="0"/>
        <v>1 sintoma</v>
      </c>
    </row>
    <row r="15" spans="1:4" x14ac:dyDescent="0.25">
      <c r="A15" s="17" t="s">
        <v>32</v>
      </c>
      <c r="B15" s="27" t="s">
        <v>234</v>
      </c>
      <c r="C15" s="4">
        <f>COUNTIFS(Sintomas!$B$2:$B$73,A15,Sintomas!$C$2:$C$73,B15,Sintomas!$N$2:$N$73,"&lt;&gt;Sem evidência")</f>
        <v>2</v>
      </c>
      <c r="D15" s="4" t="str">
        <f t="shared" si="0"/>
        <v>2 sintomas</v>
      </c>
    </row>
    <row r="16" spans="1:4" x14ac:dyDescent="0.25">
      <c r="A16" s="17" t="s">
        <v>32</v>
      </c>
      <c r="B16" s="27" t="s">
        <v>249</v>
      </c>
      <c r="C16" s="4">
        <f>COUNTIFS(Sintomas!$B$2:$B$73,A16,Sintomas!$C$2:$C$73,B16,Sintomas!$N$2:$N$73,"&lt;&gt;Sem evidência")</f>
        <v>1</v>
      </c>
      <c r="D16" s="4" t="str">
        <f t="shared" si="0"/>
        <v>1 sintoma</v>
      </c>
    </row>
    <row r="17" spans="1:4" x14ac:dyDescent="0.25">
      <c r="A17" s="17" t="s">
        <v>32</v>
      </c>
      <c r="B17" s="27" t="s">
        <v>258</v>
      </c>
      <c r="C17" s="4">
        <f>COUNTIFS(Sintomas!$B$2:$B$73,A17,Sintomas!$C$2:$C$73,B17,Sintomas!$N$2:$N$73,"&lt;&gt;Sem evidência")</f>
        <v>1</v>
      </c>
      <c r="D17" s="4" t="str">
        <f t="shared" si="0"/>
        <v>1 sintoma</v>
      </c>
    </row>
    <row r="18" spans="1:4" x14ac:dyDescent="0.25">
      <c r="A18" s="17" t="s">
        <v>32</v>
      </c>
      <c r="B18" s="27" t="s">
        <v>268</v>
      </c>
      <c r="C18" s="4">
        <f>COUNTIFS(Sintomas!$B$2:$B$73,A18,Sintomas!$C$2:$C$73,B18,Sintomas!$N$2:$N$73,"&lt;&gt;Sem evidência")</f>
        <v>2</v>
      </c>
      <c r="D18" s="4" t="str">
        <f t="shared" si="0"/>
        <v>2 sintomas</v>
      </c>
    </row>
    <row r="19" spans="1:4" x14ac:dyDescent="0.25">
      <c r="A19" s="18" t="s">
        <v>33</v>
      </c>
      <c r="B19" s="27" t="s">
        <v>283</v>
      </c>
      <c r="C19" s="4">
        <f>COUNTIFS(Sintomas!$B$2:$B$73,A19,Sintomas!$C$2:$C$73,B19,Sintomas!$N$2:$N$73,"&lt;&gt;Sem evidência")</f>
        <v>3</v>
      </c>
      <c r="D19" s="4" t="str">
        <f t="shared" si="0"/>
        <v>3 sintomas</v>
      </c>
    </row>
    <row r="20" spans="1:4" x14ac:dyDescent="0.25">
      <c r="A20" s="18" t="s">
        <v>33</v>
      </c>
      <c r="B20" s="27" t="s">
        <v>307</v>
      </c>
      <c r="C20" s="4">
        <f>COUNTIFS(Sintomas!$B$2:$B$73,A20,Sintomas!$C$2:$C$73,B20,Sintomas!$N$2:$N$73,"&lt;&gt;Sem evidência")</f>
        <v>2</v>
      </c>
      <c r="D20" s="4" t="str">
        <f t="shared" si="0"/>
        <v>2 sintomas</v>
      </c>
    </row>
    <row r="21" spans="1:4" x14ac:dyDescent="0.25">
      <c r="A21" s="18" t="s">
        <v>33</v>
      </c>
      <c r="B21" s="27" t="s">
        <v>324</v>
      </c>
      <c r="C21" s="4">
        <f>COUNTIFS(Sintomas!$B$2:$B$73,A21,Sintomas!$C$2:$C$73,B21,Sintomas!$N$2:$N$73,"&lt;&gt;Sem evidência")</f>
        <v>2</v>
      </c>
      <c r="D21" s="4" t="str">
        <f t="shared" si="0"/>
        <v>2 sintomas</v>
      </c>
    </row>
    <row r="22" spans="1:4" x14ac:dyDescent="0.25">
      <c r="A22" s="18" t="s">
        <v>33</v>
      </c>
      <c r="B22" s="27" t="s">
        <v>33</v>
      </c>
      <c r="C22" s="4">
        <f>COUNTIFS(Sintomas!$B$2:$B$73,A22,Sintomas!$C$2:$C$73,B22,Sintomas!$N$2:$N$73,"&lt;&gt;Sem evidência")</f>
        <v>3</v>
      </c>
      <c r="D22" s="4" t="str">
        <f t="shared" si="0"/>
        <v>3 sintomas</v>
      </c>
    </row>
    <row r="23" spans="1:4" x14ac:dyDescent="0.25">
      <c r="A23" s="19" t="s">
        <v>34</v>
      </c>
      <c r="B23" s="27" t="s">
        <v>363</v>
      </c>
      <c r="C23" s="4">
        <f>COUNTIFS(Sintomas!$B$2:$B$73,A23,Sintomas!$C$2:$C$73,B23,Sintomas!$N$2:$N$73,"&lt;&gt;Sem evidência")</f>
        <v>2</v>
      </c>
      <c r="D23" s="4" t="str">
        <f t="shared" si="0"/>
        <v>2 sintomas</v>
      </c>
    </row>
    <row r="24" spans="1:4" x14ac:dyDescent="0.25">
      <c r="A24" s="19" t="s">
        <v>34</v>
      </c>
      <c r="B24" s="27" t="s">
        <v>378</v>
      </c>
      <c r="C24" s="4">
        <f>COUNTIFS(Sintomas!$B$2:$B$73,A24,Sintomas!$C$2:$C$73,B24,Sintomas!$N$2:$N$73,"&lt;&gt;Sem evidência")</f>
        <v>1</v>
      </c>
      <c r="D24" s="4" t="str">
        <f t="shared" si="0"/>
        <v>1 sintoma</v>
      </c>
    </row>
    <row r="25" spans="1:4" x14ac:dyDescent="0.25">
      <c r="A25" s="19" t="s">
        <v>34</v>
      </c>
      <c r="B25" s="27" t="s">
        <v>385</v>
      </c>
      <c r="C25" s="4">
        <f>COUNTIFS(Sintomas!$B$2:$B$73,A25,Sintomas!$C$2:$C$73,B25,Sintomas!$N$2:$N$73,"&lt;&gt;Sem evidência")</f>
        <v>2</v>
      </c>
      <c r="D25" s="4" t="str">
        <f t="shared" si="0"/>
        <v>2 sintomas</v>
      </c>
    </row>
    <row r="26" spans="1:4" x14ac:dyDescent="0.25">
      <c r="A26" s="19" t="s">
        <v>34</v>
      </c>
      <c r="B26" s="27" t="s">
        <v>400</v>
      </c>
      <c r="C26" s="4">
        <f>COUNTIFS(Sintomas!$B$2:$B$73,A26,Sintomas!$C$2:$C$73,B26,Sintomas!$N$2:$N$73,"&lt;&gt;Sem evidência")</f>
        <v>5</v>
      </c>
      <c r="D26" s="4" t="str">
        <f t="shared" si="0"/>
        <v>5 sintomas</v>
      </c>
    </row>
    <row r="27" spans="1:4" x14ac:dyDescent="0.25">
      <c r="A27" s="19" t="s">
        <v>34</v>
      </c>
      <c r="B27" s="27" t="s">
        <v>437</v>
      </c>
      <c r="C27" s="4">
        <f>COUNTIFS(Sintomas!$B$2:$B$73,A27,Sintomas!$C$2:$C$73,B27,Sintomas!$N$2:$N$73,"&lt;&gt;Sem evidência")</f>
        <v>3</v>
      </c>
      <c r="D27" s="4" t="str">
        <f t="shared" si="0"/>
        <v>3 sintomas</v>
      </c>
    </row>
    <row r="28" spans="1:4" x14ac:dyDescent="0.25">
      <c r="A28" s="19" t="s">
        <v>34</v>
      </c>
      <c r="B28" s="27" t="s">
        <v>459</v>
      </c>
      <c r="C28" s="4">
        <f>COUNTIFS(Sintomas!$B$2:$B$73,A28,Sintomas!$C$2:$C$73,B28,Sintomas!$N$2:$N$73,"&lt;&gt;Sem evidência")</f>
        <v>1</v>
      </c>
      <c r="D28" s="4" t="str">
        <f t="shared" si="0"/>
        <v>1 sintoma</v>
      </c>
    </row>
    <row r="29" spans="1:4" x14ac:dyDescent="0.25">
      <c r="A29" s="19" t="s">
        <v>34</v>
      </c>
      <c r="B29" s="27" t="s">
        <v>467</v>
      </c>
      <c r="C29" s="4">
        <f>COUNTIFS(Sintomas!$B$2:$B$73,A29,Sintomas!$C$2:$C$73,B29,Sintomas!$N$2:$N$73,"&lt;&gt;Sem evidência")</f>
        <v>2</v>
      </c>
      <c r="D29" s="4" t="str">
        <f t="shared" si="0"/>
        <v>2 sintomas</v>
      </c>
    </row>
    <row r="30" spans="1:4" x14ac:dyDescent="0.25">
      <c r="A30" s="20" t="s">
        <v>35</v>
      </c>
      <c r="B30" s="27" t="s">
        <v>482</v>
      </c>
      <c r="C30" s="4">
        <f>COUNTIFS(Sintomas!$B$2:$B$73,A30,Sintomas!$C$2:$C$73,B30,Sintomas!$N$2:$N$73,"&lt;&gt;Sem evidência")</f>
        <v>1</v>
      </c>
      <c r="D30" s="4" t="str">
        <f t="shared" si="0"/>
        <v>1 sintoma</v>
      </c>
    </row>
    <row r="31" spans="1:4" x14ac:dyDescent="0.25">
      <c r="A31" s="20" t="s">
        <v>35</v>
      </c>
      <c r="B31" s="27" t="s">
        <v>490</v>
      </c>
      <c r="C31" s="4">
        <f>COUNTIFS(Sintomas!$B$2:$B$73,A31,Sintomas!$C$2:$C$73,B31,Sintomas!$N$2:$N$73,"&lt;&gt;Sem evidência")</f>
        <v>1</v>
      </c>
      <c r="D31" s="4" t="str">
        <f t="shared" si="0"/>
        <v>1 sintoma</v>
      </c>
    </row>
    <row r="32" spans="1:4" x14ac:dyDescent="0.25">
      <c r="A32" s="20" t="s">
        <v>35</v>
      </c>
      <c r="B32" s="27" t="s">
        <v>35</v>
      </c>
      <c r="C32" s="4">
        <f>COUNTIFS(Sintomas!$B$2:$B$73,A32,Sintomas!$C$2:$C$73,B32,Sintomas!$N$2:$N$73,"&lt;&gt;Sem evidência")</f>
        <v>1</v>
      </c>
      <c r="D32" s="4" t="str">
        <f t="shared" si="0"/>
        <v>1 sintoma</v>
      </c>
    </row>
    <row r="33" spans="1:4" x14ac:dyDescent="0.25">
      <c r="A33" s="20" t="s">
        <v>35</v>
      </c>
      <c r="B33" s="27" t="s">
        <v>506</v>
      </c>
      <c r="C33" s="4">
        <f>COUNTIFS(Sintomas!$B$2:$B$73,A33,Sintomas!$C$2:$C$73,B33,Sintomas!$N$2:$N$73,"&lt;&gt;Sem evidência")</f>
        <v>2</v>
      </c>
      <c r="D33" s="4" t="str">
        <f t="shared" si="0"/>
        <v>2 sintomas</v>
      </c>
    </row>
    <row r="34" spans="1:4" x14ac:dyDescent="0.25">
      <c r="A34" s="20" t="s">
        <v>35</v>
      </c>
      <c r="B34" s="27" t="s">
        <v>521</v>
      </c>
      <c r="C34" s="4">
        <f>COUNTIFS(Sintomas!$B$2:$B$73,A34,Sintomas!$C$2:$C$73,B34,Sintomas!$N$2:$N$73,"&lt;&gt;Sem evidência")</f>
        <v>2</v>
      </c>
      <c r="D34" s="4" t="str">
        <f t="shared" si="0"/>
        <v>2 sintomas</v>
      </c>
    </row>
    <row r="35" spans="1:4" x14ac:dyDescent="0.25">
      <c r="A35" s="20" t="s">
        <v>35</v>
      </c>
      <c r="B35" s="27" t="s">
        <v>537</v>
      </c>
      <c r="C35" s="4">
        <f>COUNTIFS(Sintomas!$B$2:$B$73,A35,Sintomas!$C$2:$C$73,B35,Sintomas!$N$2:$N$73,"&lt;&gt;Sem evidência")</f>
        <v>2</v>
      </c>
      <c r="D35" s="4" t="str">
        <f t="shared" si="0"/>
        <v>2 sintomas</v>
      </c>
    </row>
    <row r="36" spans="1:4" x14ac:dyDescent="0.25">
      <c r="A36" s="21" t="s">
        <v>36</v>
      </c>
      <c r="B36" s="27" t="s">
        <v>552</v>
      </c>
      <c r="C36" s="4">
        <f>COUNTIFS(Sintomas!$B$2:$B$73,A36,Sintomas!$C$2:$C$73,B36,Sintomas!$N$2:$N$73,"&lt;&gt;Sem evidência")</f>
        <v>0</v>
      </c>
      <c r="D36" s="4" t="str">
        <f t="shared" si="0"/>
        <v>Sem evidência nas fontes</v>
      </c>
    </row>
    <row r="37" spans="1:4" x14ac:dyDescent="0.25">
      <c r="A37" s="21" t="s">
        <v>36</v>
      </c>
      <c r="B37" s="27" t="s">
        <v>561</v>
      </c>
      <c r="C37" s="4">
        <f>COUNTIFS(Sintomas!$B$2:$B$73,A37,Sintomas!$C$2:$C$73,B37,Sintomas!$N$2:$N$73,"&lt;&gt;Sem evidência")</f>
        <v>2</v>
      </c>
      <c r="D37" s="4" t="str">
        <f t="shared" si="0"/>
        <v>2 sintomas</v>
      </c>
    </row>
    <row r="38" spans="1:4" x14ac:dyDescent="0.25">
      <c r="A38" s="21" t="s">
        <v>36</v>
      </c>
      <c r="B38" s="27" t="s">
        <v>576</v>
      </c>
      <c r="C38" s="4">
        <f>COUNTIFS(Sintomas!$B$2:$B$73,A38,Sintomas!$C$2:$C$73,B38,Sintomas!$N$2:$N$73,"&lt;&gt;Sem evidência")</f>
        <v>2</v>
      </c>
      <c r="D38" s="4" t="str">
        <f t="shared" si="0"/>
        <v>2 sintomas</v>
      </c>
    </row>
    <row r="39" spans="1:4" x14ac:dyDescent="0.25">
      <c r="A39" s="21" t="s">
        <v>36</v>
      </c>
      <c r="B39" s="27" t="s">
        <v>591</v>
      </c>
      <c r="C39" s="4">
        <f>COUNTIFS(Sintomas!$B$2:$B$73,A39,Sintomas!$C$2:$C$73,B39,Sintomas!$N$2:$N$73,"&lt;&gt;Sem evidência")</f>
        <v>1</v>
      </c>
      <c r="D39" s="4" t="str">
        <f t="shared" si="0"/>
        <v>1 sintoma</v>
      </c>
    </row>
    <row r="40" spans="1:4" x14ac:dyDescent="0.25">
      <c r="A40" s="21" t="s">
        <v>36</v>
      </c>
      <c r="B40" s="27" t="s">
        <v>599</v>
      </c>
      <c r="C40" s="4">
        <f>COUNTIFS(Sintomas!$B$2:$B$73,A40,Sintomas!$C$2:$C$73,B40,Sintomas!$N$2:$N$73,"&lt;&gt;Sem evidência")</f>
        <v>1</v>
      </c>
      <c r="D40" s="4" t="str">
        <f t="shared" si="0"/>
        <v>1 sintoma</v>
      </c>
    </row>
    <row r="41" spans="1:4" x14ac:dyDescent="0.25">
      <c r="A41" s="21" t="s">
        <v>36</v>
      </c>
      <c r="B41" s="27" t="s">
        <v>607</v>
      </c>
      <c r="C41" s="4">
        <f>COUNTIFS(Sintomas!$B$2:$B$73,A41,Sintomas!$C$2:$C$73,B41,Sintomas!$N$2:$N$73,"&lt;&gt;Sem evidência")</f>
        <v>1</v>
      </c>
      <c r="D41" s="4" t="str">
        <f t="shared" si="0"/>
        <v>1 sintoma</v>
      </c>
    </row>
    <row r="42" spans="1:4" x14ac:dyDescent="0.25">
      <c r="A42" s="21" t="s">
        <v>36</v>
      </c>
      <c r="B42" s="27" t="s">
        <v>615</v>
      </c>
      <c r="C42" s="4">
        <f>COUNTIFS(Sintomas!$B$2:$B$73,A42,Sintomas!$C$2:$C$73,B42,Sintomas!$N$2:$N$73,"&lt;&gt;Sem evidência")</f>
        <v>1</v>
      </c>
      <c r="D42" s="4" t="str">
        <f t="shared" si="0"/>
        <v>1 sintoma</v>
      </c>
    </row>
    <row r="43" spans="1:4" x14ac:dyDescent="0.25">
      <c r="A43" s="21" t="s">
        <v>36</v>
      </c>
      <c r="B43" s="27" t="s">
        <v>623</v>
      </c>
      <c r="C43" s="4">
        <f>COUNTIFS(Sintomas!$B$2:$B$73,A43,Sintomas!$C$2:$C$73,B43,Sintomas!$N$2:$N$73,"&lt;&gt;Sem evidência")</f>
        <v>1</v>
      </c>
      <c r="D43" s="4" t="str">
        <f t="shared" si="0"/>
        <v>1 sintoma</v>
      </c>
    </row>
    <row r="44" spans="1:4" x14ac:dyDescent="0.25">
      <c r="A44" s="21" t="s">
        <v>36</v>
      </c>
      <c r="B44" s="27" t="s">
        <v>631</v>
      </c>
      <c r="C44" s="4">
        <f>COUNTIFS(Sintomas!$B$2:$B$73,A44,Sintomas!$C$2:$C$73,B44,Sintomas!$N$2:$N$73,"&lt;&gt;Sem evidência")</f>
        <v>1</v>
      </c>
      <c r="D44" s="4" t="str">
        <f t="shared" si="0"/>
        <v>1 sintoma</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
  <sheetViews>
    <sheetView zoomScale="90" workbookViewId="0"/>
  </sheetViews>
  <sheetFormatPr defaultRowHeight="15" x14ac:dyDescent="0.25"/>
  <cols>
    <col min="1" max="1" width="24" customWidth="1"/>
    <col min="2" max="2" width="55" customWidth="1"/>
    <col min="3" max="3" width="22" customWidth="1"/>
    <col min="4" max="4" width="55" customWidth="1"/>
    <col min="5" max="5" width="40" customWidth="1"/>
    <col min="6" max="6" width="32" customWidth="1"/>
  </cols>
  <sheetData>
    <row r="1" spans="1:6" ht="15.75" customHeight="1" x14ac:dyDescent="0.25">
      <c r="A1" s="28" t="s">
        <v>639</v>
      </c>
    </row>
    <row r="2" spans="1:6" x14ac:dyDescent="0.25">
      <c r="A2" s="29" t="s">
        <v>640</v>
      </c>
    </row>
    <row r="3" spans="1:6" x14ac:dyDescent="0.25">
      <c r="A3" s="42" t="s">
        <v>641</v>
      </c>
      <c r="B3" s="42" t="s">
        <v>642</v>
      </c>
      <c r="C3" s="42" t="s">
        <v>643</v>
      </c>
      <c r="D3" s="42" t="s">
        <v>644</v>
      </c>
      <c r="E3" s="42" t="s">
        <v>645</v>
      </c>
      <c r="F3" s="42" t="s">
        <v>646</v>
      </c>
    </row>
    <row r="4" spans="1:6" ht="62.45" customHeight="1" x14ac:dyDescent="0.25">
      <c r="A4" s="1" t="s">
        <v>647</v>
      </c>
      <c r="B4" s="41" t="s">
        <v>648</v>
      </c>
      <c r="C4" s="41" t="s">
        <v>649</v>
      </c>
      <c r="D4" s="10" t="s">
        <v>650</v>
      </c>
      <c r="E4" s="10" t="s">
        <v>651</v>
      </c>
      <c r="F4" s="10" t="s">
        <v>652</v>
      </c>
    </row>
    <row r="5" spans="1:6" ht="75" customHeight="1" x14ac:dyDescent="0.25">
      <c r="A5" s="1" t="s">
        <v>653</v>
      </c>
      <c r="B5" s="41" t="s">
        <v>654</v>
      </c>
      <c r="C5" s="41" t="s">
        <v>655</v>
      </c>
      <c r="D5" s="10" t="s">
        <v>656</v>
      </c>
      <c r="E5" s="10" t="s">
        <v>657</v>
      </c>
      <c r="F5" s="10" t="s">
        <v>658</v>
      </c>
    </row>
    <row r="6" spans="1:6" ht="75" customHeight="1" x14ac:dyDescent="0.25">
      <c r="A6" s="1" t="s">
        <v>659</v>
      </c>
      <c r="B6" s="41" t="s">
        <v>660</v>
      </c>
      <c r="C6" s="41" t="s">
        <v>661</v>
      </c>
      <c r="D6" s="10" t="s">
        <v>662</v>
      </c>
      <c r="E6" s="10" t="s">
        <v>663</v>
      </c>
      <c r="F6" s="10" t="s">
        <v>664</v>
      </c>
    </row>
    <row r="7" spans="1:6" ht="75" customHeight="1" x14ac:dyDescent="0.25">
      <c r="A7" s="1" t="s">
        <v>665</v>
      </c>
      <c r="B7" s="41" t="s">
        <v>666</v>
      </c>
      <c r="C7" s="41" t="s">
        <v>667</v>
      </c>
      <c r="D7" s="10" t="s">
        <v>668</v>
      </c>
      <c r="E7" s="10" t="s">
        <v>669</v>
      </c>
      <c r="F7" s="10" t="s">
        <v>670</v>
      </c>
    </row>
    <row r="8" spans="1:6" ht="62.45" customHeight="1" x14ac:dyDescent="0.25">
      <c r="A8" s="1" t="s">
        <v>671</v>
      </c>
      <c r="B8" s="41" t="s">
        <v>672</v>
      </c>
      <c r="C8" s="41" t="s">
        <v>673</v>
      </c>
      <c r="D8" s="10" t="s">
        <v>674</v>
      </c>
      <c r="E8" s="10" t="s">
        <v>675</v>
      </c>
      <c r="F8" s="10" t="s">
        <v>676</v>
      </c>
    </row>
    <row r="9" spans="1:6" ht="75" customHeight="1" x14ac:dyDescent="0.25">
      <c r="A9" s="1" t="s">
        <v>677</v>
      </c>
      <c r="B9" s="41" t="s">
        <v>678</v>
      </c>
      <c r="C9" s="41" t="s">
        <v>679</v>
      </c>
      <c r="D9" s="10" t="s">
        <v>680</v>
      </c>
      <c r="E9" s="10" t="s">
        <v>681</v>
      </c>
      <c r="F9" s="10" t="s">
        <v>682</v>
      </c>
    </row>
    <row r="10" spans="1:6" ht="75" customHeight="1" x14ac:dyDescent="0.25">
      <c r="A10" s="1" t="s">
        <v>683</v>
      </c>
      <c r="B10" s="41" t="s">
        <v>684</v>
      </c>
      <c r="C10" s="41" t="s">
        <v>685</v>
      </c>
      <c r="D10" s="10" t="s">
        <v>686</v>
      </c>
      <c r="E10" s="10" t="s">
        <v>687</v>
      </c>
      <c r="F10" s="10" t="s">
        <v>688</v>
      </c>
    </row>
    <row r="11" spans="1:6" ht="75" customHeight="1" x14ac:dyDescent="0.25">
      <c r="A11" s="1" t="s">
        <v>689</v>
      </c>
      <c r="B11" s="41" t="s">
        <v>690</v>
      </c>
      <c r="C11" s="41" t="s">
        <v>691</v>
      </c>
      <c r="D11" s="10" t="s">
        <v>692</v>
      </c>
      <c r="E11" s="10" t="s">
        <v>693</v>
      </c>
      <c r="F11" s="10" t="s">
        <v>694</v>
      </c>
    </row>
    <row r="12" spans="1:6" ht="75" customHeight="1" x14ac:dyDescent="0.25">
      <c r="A12" s="1" t="s">
        <v>695</v>
      </c>
      <c r="B12" s="41" t="s">
        <v>696</v>
      </c>
      <c r="C12" s="41" t="s">
        <v>697</v>
      </c>
      <c r="D12" s="10" t="s">
        <v>698</v>
      </c>
      <c r="E12" s="10" t="s">
        <v>699</v>
      </c>
      <c r="F12" s="10" t="s">
        <v>700</v>
      </c>
    </row>
    <row r="13" spans="1:6" x14ac:dyDescent="0.25">
      <c r="A13" s="43" t="s">
        <v>701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1"/>
  <sheetViews>
    <sheetView zoomScale="90" workbookViewId="0"/>
  </sheetViews>
  <sheetFormatPr defaultRowHeight="15" x14ac:dyDescent="0.25"/>
  <cols>
    <col min="1" max="1" width="26" customWidth="1"/>
    <col min="2" max="3" width="55" customWidth="1"/>
    <col min="4" max="4" width="14" customWidth="1"/>
    <col min="5" max="5" width="30" customWidth="1"/>
    <col min="6" max="6" width="26" customWidth="1"/>
    <col min="7" max="7" width="24" customWidth="1"/>
    <col min="8" max="11" width="13" customWidth="1"/>
    <col min="12" max="12" width="14" customWidth="1"/>
  </cols>
  <sheetData>
    <row r="1" spans="1:7" ht="15.75" customHeight="1" x14ac:dyDescent="0.25">
      <c r="A1" s="28" t="s">
        <v>702</v>
      </c>
    </row>
    <row r="2" spans="1:7" x14ac:dyDescent="0.25">
      <c r="A2" s="29" t="s">
        <v>703</v>
      </c>
    </row>
    <row r="3" spans="1:7" ht="38.25" customHeight="1" x14ac:dyDescent="0.25">
      <c r="A3" s="42" t="s">
        <v>704</v>
      </c>
      <c r="B3" s="42" t="s">
        <v>705</v>
      </c>
      <c r="C3" s="42" t="s">
        <v>643</v>
      </c>
      <c r="D3" s="42" t="s">
        <v>706</v>
      </c>
      <c r="E3" s="42" t="s">
        <v>707</v>
      </c>
      <c r="F3" s="42" t="s">
        <v>708</v>
      </c>
      <c r="G3" s="42" t="s">
        <v>709</v>
      </c>
    </row>
    <row r="4" spans="1:7" ht="50.1" customHeight="1" x14ac:dyDescent="0.25">
      <c r="A4" s="1" t="s">
        <v>710</v>
      </c>
      <c r="B4" s="41" t="s">
        <v>711</v>
      </c>
      <c r="C4" s="41" t="s">
        <v>712</v>
      </c>
      <c r="D4" s="10" t="s">
        <v>713</v>
      </c>
      <c r="E4" s="10" t="s">
        <v>714</v>
      </c>
      <c r="F4" s="10" t="s">
        <v>715</v>
      </c>
      <c r="G4" s="10" t="s">
        <v>716</v>
      </c>
    </row>
    <row r="5" spans="1:7" ht="37.5" customHeight="1" x14ac:dyDescent="0.25">
      <c r="A5" s="1" t="s">
        <v>717</v>
      </c>
      <c r="B5" s="41" t="s">
        <v>718</v>
      </c>
      <c r="C5" s="41" t="s">
        <v>719</v>
      </c>
      <c r="D5" s="10" t="s">
        <v>720</v>
      </c>
      <c r="E5" s="10" t="s">
        <v>721</v>
      </c>
      <c r="F5" s="10" t="s">
        <v>722</v>
      </c>
      <c r="G5" s="10" t="s">
        <v>723</v>
      </c>
    </row>
    <row r="6" spans="1:7" ht="50.1" customHeight="1" x14ac:dyDescent="0.25">
      <c r="A6" s="1" t="s">
        <v>724</v>
      </c>
      <c r="B6" s="41" t="s">
        <v>725</v>
      </c>
      <c r="C6" s="41" t="s">
        <v>726</v>
      </c>
      <c r="D6" s="10" t="s">
        <v>727</v>
      </c>
      <c r="E6" s="10" t="s">
        <v>728</v>
      </c>
      <c r="F6" s="10" t="s">
        <v>729</v>
      </c>
      <c r="G6" s="10" t="s">
        <v>730</v>
      </c>
    </row>
    <row r="7" spans="1:7" ht="62.45" customHeight="1" x14ac:dyDescent="0.25">
      <c r="A7" s="1" t="s">
        <v>731</v>
      </c>
      <c r="B7" s="41" t="s">
        <v>732</v>
      </c>
      <c r="C7" s="41" t="s">
        <v>733</v>
      </c>
      <c r="D7" s="10" t="s">
        <v>734</v>
      </c>
      <c r="E7" s="10" t="s">
        <v>735</v>
      </c>
      <c r="F7" s="10" t="s">
        <v>736</v>
      </c>
      <c r="G7" s="10" t="s">
        <v>737</v>
      </c>
    </row>
    <row r="8" spans="1:7" ht="75" customHeight="1" x14ac:dyDescent="0.25">
      <c r="A8" s="1" t="s">
        <v>738</v>
      </c>
      <c r="B8" s="41" t="s">
        <v>739</v>
      </c>
      <c r="C8" s="41" t="s">
        <v>740</v>
      </c>
      <c r="D8" s="10" t="s">
        <v>741</v>
      </c>
      <c r="E8" s="10" t="s">
        <v>742</v>
      </c>
      <c r="F8" s="10" t="s">
        <v>743</v>
      </c>
      <c r="G8" s="10" t="s">
        <v>744</v>
      </c>
    </row>
    <row r="9" spans="1:7" ht="62.45" customHeight="1" x14ac:dyDescent="0.25">
      <c r="A9" s="1" t="s">
        <v>745</v>
      </c>
      <c r="B9" s="41" t="s">
        <v>746</v>
      </c>
      <c r="C9" s="41" t="s">
        <v>747</v>
      </c>
      <c r="D9" s="10" t="s">
        <v>748</v>
      </c>
      <c r="E9" s="10" t="s">
        <v>749</v>
      </c>
      <c r="F9" s="10" t="s">
        <v>750</v>
      </c>
      <c r="G9" s="10" t="s">
        <v>751</v>
      </c>
    </row>
    <row r="10" spans="1:7" ht="62.45" customHeight="1" x14ac:dyDescent="0.25">
      <c r="A10" s="1" t="s">
        <v>752</v>
      </c>
      <c r="B10" s="41" t="s">
        <v>753</v>
      </c>
      <c r="C10" s="41" t="s">
        <v>754</v>
      </c>
      <c r="D10" s="10" t="s">
        <v>755</v>
      </c>
      <c r="E10" s="10" t="s">
        <v>756</v>
      </c>
      <c r="F10" s="10" t="s">
        <v>757</v>
      </c>
      <c r="G10" s="10" t="s">
        <v>758</v>
      </c>
    </row>
    <row r="11" spans="1:7" ht="62.45" customHeight="1" x14ac:dyDescent="0.25">
      <c r="A11" s="1" t="s">
        <v>759</v>
      </c>
      <c r="B11" s="41" t="s">
        <v>760</v>
      </c>
      <c r="C11" s="41" t="s">
        <v>761</v>
      </c>
      <c r="D11" s="10" t="s">
        <v>762</v>
      </c>
      <c r="E11" s="10" t="s">
        <v>763</v>
      </c>
      <c r="F11" s="10" t="s">
        <v>764</v>
      </c>
      <c r="G11" s="10" t="s">
        <v>765</v>
      </c>
    </row>
    <row r="12" spans="1:7" ht="50.1" customHeight="1" x14ac:dyDescent="0.25">
      <c r="A12" s="1" t="s">
        <v>766</v>
      </c>
      <c r="B12" s="41" t="s">
        <v>767</v>
      </c>
      <c r="C12" s="41" t="s">
        <v>768</v>
      </c>
      <c r="D12" s="10" t="s">
        <v>769</v>
      </c>
      <c r="E12" s="10" t="s">
        <v>770</v>
      </c>
      <c r="F12" s="10" t="s">
        <v>771</v>
      </c>
      <c r="G12" s="10" t="s">
        <v>772</v>
      </c>
    </row>
    <row r="13" spans="1:7" ht="50.1" customHeight="1" x14ac:dyDescent="0.25">
      <c r="A13" s="1" t="s">
        <v>773</v>
      </c>
      <c r="B13" s="41" t="s">
        <v>774</v>
      </c>
      <c r="C13" s="41" t="s">
        <v>775</v>
      </c>
      <c r="D13" s="10" t="s">
        <v>776</v>
      </c>
      <c r="E13" s="10" t="s">
        <v>777</v>
      </c>
      <c r="F13" s="10" t="s">
        <v>778</v>
      </c>
      <c r="G13" s="10" t="s">
        <v>779</v>
      </c>
    </row>
    <row r="14" spans="1:7" ht="50.1" customHeight="1" x14ac:dyDescent="0.25">
      <c r="A14" s="1" t="s">
        <v>780</v>
      </c>
      <c r="B14" s="41" t="s">
        <v>781</v>
      </c>
      <c r="C14" s="41" t="s">
        <v>782</v>
      </c>
      <c r="D14" s="10" t="s">
        <v>783</v>
      </c>
      <c r="E14" s="10" t="s">
        <v>784</v>
      </c>
      <c r="F14" s="10" t="s">
        <v>785</v>
      </c>
      <c r="G14" s="10" t="s">
        <v>786</v>
      </c>
    </row>
    <row r="16" spans="1:7" ht="15.75" customHeight="1" x14ac:dyDescent="0.25">
      <c r="A16" s="28" t="s">
        <v>787</v>
      </c>
    </row>
    <row r="17" spans="1:12" x14ac:dyDescent="0.25">
      <c r="A17" s="29" t="s">
        <v>788</v>
      </c>
    </row>
    <row r="18" spans="1:12" ht="25.5" customHeight="1" x14ac:dyDescent="0.25">
      <c r="A18" s="42" t="s">
        <v>789</v>
      </c>
      <c r="B18" s="42" t="s">
        <v>790</v>
      </c>
      <c r="C18" s="42" t="s">
        <v>791</v>
      </c>
      <c r="D18" s="42" t="s">
        <v>792</v>
      </c>
    </row>
    <row r="19" spans="1:12" ht="50.1" customHeight="1" x14ac:dyDescent="0.25">
      <c r="A19" s="1" t="s">
        <v>793</v>
      </c>
      <c r="B19" s="41" t="s">
        <v>794</v>
      </c>
      <c r="C19" s="41" t="s">
        <v>795</v>
      </c>
      <c r="D19" s="10">
        <v>5</v>
      </c>
    </row>
    <row r="20" spans="1:12" ht="50.1" customHeight="1" x14ac:dyDescent="0.25">
      <c r="A20" s="1" t="s">
        <v>796</v>
      </c>
      <c r="B20" s="41" t="s">
        <v>797</v>
      </c>
      <c r="C20" s="41" t="s">
        <v>798</v>
      </c>
      <c r="D20" s="10">
        <v>4</v>
      </c>
    </row>
    <row r="21" spans="1:12" ht="37.5" customHeight="1" x14ac:dyDescent="0.25">
      <c r="A21" s="1" t="s">
        <v>799</v>
      </c>
      <c r="B21" s="41" t="s">
        <v>800</v>
      </c>
      <c r="C21" s="41" t="s">
        <v>801</v>
      </c>
      <c r="D21" s="10">
        <v>4</v>
      </c>
    </row>
    <row r="22" spans="1:12" ht="37.5" customHeight="1" x14ac:dyDescent="0.25">
      <c r="A22" s="1" t="s">
        <v>802</v>
      </c>
      <c r="B22" s="41" t="s">
        <v>803</v>
      </c>
      <c r="C22" s="41" t="s">
        <v>804</v>
      </c>
      <c r="D22" s="10">
        <v>4</v>
      </c>
    </row>
    <row r="23" spans="1:12" ht="37.5" customHeight="1" x14ac:dyDescent="0.25">
      <c r="A23" s="1" t="s">
        <v>805</v>
      </c>
      <c r="B23" s="41" t="s">
        <v>806</v>
      </c>
      <c r="C23" s="41" t="s">
        <v>807</v>
      </c>
      <c r="D23" s="10">
        <v>3</v>
      </c>
    </row>
    <row r="24" spans="1:12" ht="37.5" customHeight="1" x14ac:dyDescent="0.25">
      <c r="A24" s="1" t="s">
        <v>808</v>
      </c>
      <c r="B24" s="41" t="s">
        <v>809</v>
      </c>
      <c r="C24" s="41" t="s">
        <v>810</v>
      </c>
      <c r="D24" s="10">
        <v>3</v>
      </c>
    </row>
    <row r="25" spans="1:12" ht="37.5" customHeight="1" x14ac:dyDescent="0.25">
      <c r="A25" s="1" t="s">
        <v>811</v>
      </c>
      <c r="B25" s="41" t="s">
        <v>812</v>
      </c>
      <c r="C25" s="41" t="s">
        <v>813</v>
      </c>
      <c r="D25" s="10">
        <v>3</v>
      </c>
    </row>
    <row r="26" spans="1:12" ht="37.5" customHeight="1" x14ac:dyDescent="0.25">
      <c r="A26" s="1" t="s">
        <v>814</v>
      </c>
      <c r="B26" s="41" t="s">
        <v>815</v>
      </c>
      <c r="C26" s="41" t="s">
        <v>816</v>
      </c>
      <c r="D26" s="10">
        <v>5</v>
      </c>
    </row>
    <row r="27" spans="1:12" x14ac:dyDescent="0.25">
      <c r="A27" s="29" t="s">
        <v>817</v>
      </c>
    </row>
    <row r="28" spans="1:12" ht="15.75" customHeight="1" x14ac:dyDescent="0.25">
      <c r="A28" s="28" t="s">
        <v>818</v>
      </c>
    </row>
    <row r="29" spans="1:12" x14ac:dyDescent="0.25">
      <c r="A29" s="29" t="s">
        <v>819</v>
      </c>
    </row>
    <row r="30" spans="1:12" x14ac:dyDescent="0.25">
      <c r="A30" s="25" t="s">
        <v>820</v>
      </c>
      <c r="B30" s="4">
        <f>$D$19</f>
        <v>5</v>
      </c>
      <c r="C30" s="4">
        <f>$D$20</f>
        <v>4</v>
      </c>
      <c r="D30" s="4">
        <f>$D$21</f>
        <v>4</v>
      </c>
      <c r="E30" s="4">
        <f>$D$22</f>
        <v>4</v>
      </c>
      <c r="F30" s="4">
        <f>$D$23</f>
        <v>3</v>
      </c>
      <c r="G30" s="4">
        <f>$D$24</f>
        <v>3</v>
      </c>
      <c r="H30" s="4">
        <f>$D$25</f>
        <v>3</v>
      </c>
      <c r="I30" s="4">
        <f>$D$26</f>
        <v>5</v>
      </c>
      <c r="J30" s="25" t="s">
        <v>821</v>
      </c>
      <c r="K30" s="30">
        <f>5*SUM(B30:I30)</f>
        <v>155</v>
      </c>
    </row>
    <row r="31" spans="1:12" ht="25.5" customHeight="1" x14ac:dyDescent="0.25">
      <c r="A31" s="42" t="s">
        <v>822</v>
      </c>
      <c r="B31" s="42" t="s">
        <v>823</v>
      </c>
      <c r="C31" s="42" t="s">
        <v>824</v>
      </c>
      <c r="D31" s="42" t="s">
        <v>799</v>
      </c>
      <c r="E31" s="42" t="s">
        <v>802</v>
      </c>
      <c r="F31" s="42" t="s">
        <v>805</v>
      </c>
      <c r="G31" s="42" t="s">
        <v>808</v>
      </c>
      <c r="H31" s="42" t="s">
        <v>811</v>
      </c>
      <c r="I31" s="42" t="s">
        <v>814</v>
      </c>
      <c r="J31" s="42" t="s">
        <v>825</v>
      </c>
      <c r="K31" s="42" t="s">
        <v>826</v>
      </c>
      <c r="L31" s="42" t="s">
        <v>827</v>
      </c>
    </row>
    <row r="32" spans="1:12" ht="24" customHeight="1" x14ac:dyDescent="0.25">
      <c r="A32" s="1" t="s">
        <v>828</v>
      </c>
      <c r="B32" s="31">
        <v>5</v>
      </c>
      <c r="C32" s="31">
        <v>4</v>
      </c>
      <c r="D32" s="31">
        <v>3</v>
      </c>
      <c r="E32" s="31">
        <v>4</v>
      </c>
      <c r="F32" s="31">
        <v>2</v>
      </c>
      <c r="G32" s="31">
        <v>5</v>
      </c>
      <c r="H32" s="31">
        <v>5</v>
      </c>
      <c r="I32" s="31">
        <v>3</v>
      </c>
      <c r="J32" s="41">
        <f t="shared" ref="J32:J40" si="0">SUMPRODUCT(B32:I32,$B$30:$I$30)</f>
        <v>120</v>
      </c>
      <c r="K32" s="32">
        <f t="shared" ref="K32:K40" si="1">IF($K$30=0,0,J32/$K$30)</f>
        <v>0.77419354838709675</v>
      </c>
      <c r="L32" s="33" t="s">
        <v>829</v>
      </c>
    </row>
    <row r="33" spans="1:12" ht="24" customHeight="1" x14ac:dyDescent="0.25">
      <c r="A33" s="1" t="s">
        <v>830</v>
      </c>
      <c r="B33" s="31">
        <v>4</v>
      </c>
      <c r="C33" s="31">
        <v>4</v>
      </c>
      <c r="D33" s="31">
        <v>1</v>
      </c>
      <c r="E33" s="31">
        <v>3</v>
      </c>
      <c r="F33" s="31">
        <v>5</v>
      </c>
      <c r="G33" s="31">
        <v>4</v>
      </c>
      <c r="H33" s="31">
        <v>4</v>
      </c>
      <c r="I33" s="31">
        <v>1</v>
      </c>
      <c r="J33" s="41">
        <f t="shared" si="0"/>
        <v>96</v>
      </c>
      <c r="K33" s="32">
        <f t="shared" si="1"/>
        <v>0.61935483870967745</v>
      </c>
      <c r="L33" s="33" t="s">
        <v>829</v>
      </c>
    </row>
    <row r="34" spans="1:12" ht="24" customHeight="1" x14ac:dyDescent="0.25">
      <c r="A34" s="1" t="s">
        <v>831</v>
      </c>
      <c r="B34" s="31">
        <v>4</v>
      </c>
      <c r="C34" s="31">
        <v>4</v>
      </c>
      <c r="D34" s="31">
        <v>2</v>
      </c>
      <c r="E34" s="31">
        <v>4</v>
      </c>
      <c r="F34" s="31">
        <v>2</v>
      </c>
      <c r="G34" s="31">
        <v>5</v>
      </c>
      <c r="H34" s="31">
        <v>4</v>
      </c>
      <c r="I34" s="31">
        <v>2</v>
      </c>
      <c r="J34" s="41">
        <f t="shared" si="0"/>
        <v>103</v>
      </c>
      <c r="K34" s="32">
        <f t="shared" si="1"/>
        <v>0.6645161290322581</v>
      </c>
      <c r="L34" s="33" t="s">
        <v>829</v>
      </c>
    </row>
    <row r="35" spans="1:12" x14ac:dyDescent="0.25">
      <c r="A35" s="1" t="s">
        <v>832</v>
      </c>
      <c r="B35" s="31">
        <v>2</v>
      </c>
      <c r="C35" s="31">
        <v>2</v>
      </c>
      <c r="D35" s="31">
        <v>5</v>
      </c>
      <c r="E35" s="31">
        <v>5</v>
      </c>
      <c r="F35" s="31">
        <v>1</v>
      </c>
      <c r="G35" s="31">
        <v>3</v>
      </c>
      <c r="H35" s="31">
        <v>2</v>
      </c>
      <c r="I35" s="31">
        <v>3</v>
      </c>
      <c r="J35" s="41">
        <f t="shared" si="0"/>
        <v>91</v>
      </c>
      <c r="K35" s="32">
        <f t="shared" si="1"/>
        <v>0.58709677419354833</v>
      </c>
      <c r="L35" s="33" t="s">
        <v>833</v>
      </c>
    </row>
    <row r="36" spans="1:12" ht="24" customHeight="1" x14ac:dyDescent="0.25">
      <c r="A36" s="1" t="s">
        <v>834</v>
      </c>
      <c r="B36" s="31">
        <v>1</v>
      </c>
      <c r="C36" s="31">
        <v>5</v>
      </c>
      <c r="D36" s="31">
        <v>4</v>
      </c>
      <c r="E36" s="31">
        <v>3</v>
      </c>
      <c r="F36" s="31">
        <v>5</v>
      </c>
      <c r="G36" s="31">
        <v>2</v>
      </c>
      <c r="H36" s="31">
        <v>1</v>
      </c>
      <c r="I36" s="31">
        <v>4</v>
      </c>
      <c r="J36" s="41">
        <f t="shared" si="0"/>
        <v>97</v>
      </c>
      <c r="K36" s="32">
        <f t="shared" si="1"/>
        <v>0.62580645161290327</v>
      </c>
      <c r="L36" s="33" t="s">
        <v>835</v>
      </c>
    </row>
    <row r="37" spans="1:12" ht="24" customHeight="1" x14ac:dyDescent="0.25">
      <c r="A37" s="1" t="s">
        <v>836</v>
      </c>
      <c r="B37" s="31">
        <v>3</v>
      </c>
      <c r="C37" s="31">
        <v>4</v>
      </c>
      <c r="D37" s="31">
        <v>4</v>
      </c>
      <c r="E37" s="31">
        <v>3</v>
      </c>
      <c r="F37" s="31">
        <v>3</v>
      </c>
      <c r="G37" s="31">
        <v>2</v>
      </c>
      <c r="H37" s="31">
        <v>2</v>
      </c>
      <c r="I37" s="31">
        <v>2</v>
      </c>
      <c r="J37" s="41">
        <f t="shared" si="0"/>
        <v>90</v>
      </c>
      <c r="K37" s="32">
        <f t="shared" si="1"/>
        <v>0.58064516129032262</v>
      </c>
      <c r="L37" s="33" t="s">
        <v>837</v>
      </c>
    </row>
    <row r="38" spans="1:12" x14ac:dyDescent="0.25">
      <c r="A38" s="34" t="s">
        <v>838</v>
      </c>
      <c r="B38" s="31">
        <v>0</v>
      </c>
      <c r="C38" s="31">
        <v>0</v>
      </c>
      <c r="D38" s="31">
        <v>0</v>
      </c>
      <c r="E38" s="31">
        <v>0</v>
      </c>
      <c r="F38" s="31">
        <v>0</v>
      </c>
      <c r="G38" s="31">
        <v>0</v>
      </c>
      <c r="H38" s="31">
        <v>0</v>
      </c>
      <c r="I38" s="31">
        <v>0</v>
      </c>
      <c r="J38" s="27">
        <f t="shared" si="0"/>
        <v>0</v>
      </c>
      <c r="K38" s="35">
        <f t="shared" si="1"/>
        <v>0</v>
      </c>
      <c r="L38" s="36"/>
    </row>
    <row r="39" spans="1:12" x14ac:dyDescent="0.25">
      <c r="A39" s="34" t="s">
        <v>838</v>
      </c>
      <c r="B39" s="31">
        <v>0</v>
      </c>
      <c r="C39" s="31">
        <v>0</v>
      </c>
      <c r="D39" s="31">
        <v>0</v>
      </c>
      <c r="E39" s="31">
        <v>0</v>
      </c>
      <c r="F39" s="31">
        <v>0</v>
      </c>
      <c r="G39" s="31">
        <v>0</v>
      </c>
      <c r="H39" s="31">
        <v>0</v>
      </c>
      <c r="I39" s="31">
        <v>0</v>
      </c>
      <c r="J39" s="27">
        <f t="shared" si="0"/>
        <v>0</v>
      </c>
      <c r="K39" s="35">
        <f t="shared" si="1"/>
        <v>0</v>
      </c>
      <c r="L39" s="36"/>
    </row>
    <row r="40" spans="1:12" x14ac:dyDescent="0.25">
      <c r="A40" s="34" t="s">
        <v>838</v>
      </c>
      <c r="B40" s="31">
        <v>0</v>
      </c>
      <c r="C40" s="31">
        <v>0</v>
      </c>
      <c r="D40" s="31">
        <v>0</v>
      </c>
      <c r="E40" s="31">
        <v>0</v>
      </c>
      <c r="F40" s="31">
        <v>0</v>
      </c>
      <c r="G40" s="31">
        <v>0</v>
      </c>
      <c r="H40" s="31">
        <v>0</v>
      </c>
      <c r="I40" s="31">
        <v>0</v>
      </c>
      <c r="J40" s="27">
        <f t="shared" si="0"/>
        <v>0</v>
      </c>
      <c r="K40" s="35">
        <f t="shared" si="1"/>
        <v>0</v>
      </c>
      <c r="L40" s="36"/>
    </row>
    <row r="41" spans="1:12" x14ac:dyDescent="0.25">
      <c r="A41" s="29" t="s">
        <v>839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3"/>
  <sheetViews>
    <sheetView zoomScale="90" workbookViewId="0"/>
  </sheetViews>
  <sheetFormatPr defaultRowHeight="15" x14ac:dyDescent="0.25"/>
  <cols>
    <col min="1" max="1" width="26" customWidth="1"/>
    <col min="2" max="3" width="40" customWidth="1"/>
    <col min="4" max="4" width="36" customWidth="1"/>
    <col min="5" max="7" width="40" customWidth="1"/>
    <col min="8" max="8" width="32" customWidth="1"/>
    <col min="9" max="9" width="30" customWidth="1"/>
    <col min="10" max="10" width="32" customWidth="1"/>
  </cols>
  <sheetData>
    <row r="1" spans="1:10" ht="15.75" customHeight="1" x14ac:dyDescent="0.25">
      <c r="A1" s="28" t="s">
        <v>840</v>
      </c>
    </row>
    <row r="2" spans="1:10" x14ac:dyDescent="0.25">
      <c r="A2" s="29" t="s">
        <v>841</v>
      </c>
    </row>
    <row r="3" spans="1:10" x14ac:dyDescent="0.25">
      <c r="A3" s="42" t="s">
        <v>842</v>
      </c>
      <c r="B3" s="42" t="s">
        <v>843</v>
      </c>
      <c r="C3" s="42" t="s">
        <v>844</v>
      </c>
      <c r="D3" s="42" t="s">
        <v>845</v>
      </c>
      <c r="E3" s="42" t="s">
        <v>846</v>
      </c>
      <c r="F3" s="42" t="s">
        <v>847</v>
      </c>
      <c r="G3" s="42" t="s">
        <v>848</v>
      </c>
      <c r="H3" s="42" t="s">
        <v>849</v>
      </c>
      <c r="I3" s="42" t="s">
        <v>850</v>
      </c>
      <c r="J3" s="42" t="s">
        <v>851</v>
      </c>
    </row>
    <row r="4" spans="1:10" ht="87.6" customHeight="1" x14ac:dyDescent="0.25">
      <c r="A4" s="1" t="s">
        <v>852</v>
      </c>
      <c r="B4" s="41" t="s">
        <v>853</v>
      </c>
      <c r="C4" s="41" t="s">
        <v>854</v>
      </c>
      <c r="D4" s="41" t="s">
        <v>855</v>
      </c>
      <c r="E4" s="10" t="s">
        <v>856</v>
      </c>
      <c r="F4" s="10" t="s">
        <v>857</v>
      </c>
      <c r="G4" s="10" t="s">
        <v>858</v>
      </c>
      <c r="H4" s="10" t="s">
        <v>859</v>
      </c>
      <c r="I4" s="10" t="s">
        <v>860</v>
      </c>
      <c r="J4" s="10" t="s">
        <v>861</v>
      </c>
    </row>
    <row r="5" spans="1:10" ht="62.45" customHeight="1" x14ac:dyDescent="0.25">
      <c r="A5" s="1" t="s">
        <v>862</v>
      </c>
      <c r="B5" s="41" t="s">
        <v>863</v>
      </c>
      <c r="C5" s="41" t="s">
        <v>864</v>
      </c>
      <c r="D5" s="41" t="s">
        <v>865</v>
      </c>
      <c r="E5" s="10" t="s">
        <v>866</v>
      </c>
      <c r="F5" s="10" t="s">
        <v>867</v>
      </c>
      <c r="G5" s="10" t="s">
        <v>868</v>
      </c>
      <c r="H5" s="10" t="s">
        <v>869</v>
      </c>
      <c r="I5" s="10" t="s">
        <v>870</v>
      </c>
      <c r="J5" s="10" t="s">
        <v>871</v>
      </c>
    </row>
    <row r="6" spans="1:10" ht="75" customHeight="1" x14ac:dyDescent="0.25">
      <c r="A6" s="1" t="s">
        <v>872</v>
      </c>
      <c r="B6" s="41" t="s">
        <v>873</v>
      </c>
      <c r="C6" s="41" t="s">
        <v>874</v>
      </c>
      <c r="D6" s="41" t="s">
        <v>875</v>
      </c>
      <c r="E6" s="10" t="s">
        <v>876</v>
      </c>
      <c r="F6" s="10" t="s">
        <v>877</v>
      </c>
      <c r="G6" s="10" t="s">
        <v>878</v>
      </c>
      <c r="H6" s="10" t="s">
        <v>879</v>
      </c>
      <c r="I6" s="10" t="s">
        <v>880</v>
      </c>
      <c r="J6" s="10" t="s">
        <v>881</v>
      </c>
    </row>
    <row r="7" spans="1:10" ht="62.45" customHeight="1" x14ac:dyDescent="0.25">
      <c r="A7" s="1" t="s">
        <v>882</v>
      </c>
      <c r="B7" s="41" t="s">
        <v>883</v>
      </c>
      <c r="C7" s="41" t="s">
        <v>884</v>
      </c>
      <c r="D7" s="41" t="s">
        <v>885</v>
      </c>
      <c r="E7" s="10" t="s">
        <v>886</v>
      </c>
      <c r="F7" s="10" t="s">
        <v>887</v>
      </c>
      <c r="G7" s="10" t="s">
        <v>888</v>
      </c>
      <c r="H7" s="10" t="s">
        <v>889</v>
      </c>
      <c r="I7" s="10" t="s">
        <v>890</v>
      </c>
      <c r="J7" s="10" t="s">
        <v>891</v>
      </c>
    </row>
    <row r="9" spans="1:10" ht="15.75" customHeight="1" x14ac:dyDescent="0.25">
      <c r="A9" s="28" t="s">
        <v>892</v>
      </c>
    </row>
    <row r="10" spans="1:10" x14ac:dyDescent="0.25">
      <c r="A10" s="29" t="s">
        <v>893</v>
      </c>
    </row>
    <row r="11" spans="1:10" x14ac:dyDescent="0.25">
      <c r="A11" s="42" t="s">
        <v>894</v>
      </c>
      <c r="B11" s="42" t="s">
        <v>895</v>
      </c>
      <c r="C11" s="42" t="s">
        <v>896</v>
      </c>
      <c r="D11" s="42" t="s">
        <v>897</v>
      </c>
      <c r="E11" s="42" t="s">
        <v>898</v>
      </c>
    </row>
    <row r="12" spans="1:10" ht="37.5" customHeight="1" x14ac:dyDescent="0.25">
      <c r="A12" s="1" t="s">
        <v>899</v>
      </c>
      <c r="B12" s="41" t="s">
        <v>900</v>
      </c>
      <c r="C12" s="10" t="s">
        <v>901</v>
      </c>
      <c r="D12" s="10" t="s">
        <v>902</v>
      </c>
      <c r="E12" s="10" t="s">
        <v>903</v>
      </c>
    </row>
    <row r="13" spans="1:10" ht="24.95" customHeight="1" x14ac:dyDescent="0.25">
      <c r="A13" s="1" t="s">
        <v>904</v>
      </c>
      <c r="B13" s="41" t="s">
        <v>905</v>
      </c>
      <c r="C13" s="10" t="s">
        <v>906</v>
      </c>
      <c r="D13" s="10" t="s">
        <v>907</v>
      </c>
      <c r="E13" s="10" t="s">
        <v>908</v>
      </c>
    </row>
    <row r="14" spans="1:10" ht="24.95" customHeight="1" x14ac:dyDescent="0.25">
      <c r="A14" s="1" t="s">
        <v>909</v>
      </c>
      <c r="B14" s="41" t="s">
        <v>910</v>
      </c>
      <c r="C14" s="10" t="s">
        <v>906</v>
      </c>
      <c r="D14" s="10" t="s">
        <v>911</v>
      </c>
      <c r="E14" s="10" t="s">
        <v>912</v>
      </c>
    </row>
    <row r="15" spans="1:10" ht="37.5" customHeight="1" x14ac:dyDescent="0.25">
      <c r="A15" s="1" t="s">
        <v>913</v>
      </c>
      <c r="B15" s="41" t="s">
        <v>914</v>
      </c>
      <c r="C15" s="10" t="s">
        <v>906</v>
      </c>
      <c r="D15" s="10" t="s">
        <v>915</v>
      </c>
      <c r="E15" s="10" t="s">
        <v>916</v>
      </c>
    </row>
    <row r="16" spans="1:10" ht="24.95" customHeight="1" x14ac:dyDescent="0.25">
      <c r="A16" s="1" t="s">
        <v>917</v>
      </c>
      <c r="B16" s="41" t="s">
        <v>918</v>
      </c>
      <c r="C16" s="10" t="s">
        <v>919</v>
      </c>
      <c r="D16" s="10" t="s">
        <v>920</v>
      </c>
      <c r="E16" s="10" t="s">
        <v>921</v>
      </c>
    </row>
    <row r="17" spans="1:6" ht="37.5" customHeight="1" x14ac:dyDescent="0.25">
      <c r="A17" s="1" t="s">
        <v>922</v>
      </c>
      <c r="B17" s="41" t="s">
        <v>923</v>
      </c>
      <c r="C17" s="10" t="s">
        <v>906</v>
      </c>
      <c r="D17" s="10" t="s">
        <v>924</v>
      </c>
      <c r="E17" s="10" t="s">
        <v>925</v>
      </c>
    </row>
    <row r="18" spans="1:6" ht="37.5" customHeight="1" x14ac:dyDescent="0.25">
      <c r="A18" s="1" t="s">
        <v>926</v>
      </c>
      <c r="B18" s="41" t="s">
        <v>927</v>
      </c>
      <c r="C18" s="10" t="s">
        <v>919</v>
      </c>
      <c r="D18" s="10" t="s">
        <v>928</v>
      </c>
      <c r="E18" s="10" t="s">
        <v>929</v>
      </c>
    </row>
    <row r="19" spans="1:6" ht="37.5" customHeight="1" x14ac:dyDescent="0.25">
      <c r="A19" s="1" t="s">
        <v>930</v>
      </c>
      <c r="B19" s="41" t="s">
        <v>931</v>
      </c>
      <c r="C19" s="10" t="s">
        <v>932</v>
      </c>
      <c r="D19" s="10" t="s">
        <v>933</v>
      </c>
      <c r="E19" s="10" t="s">
        <v>934</v>
      </c>
    </row>
    <row r="20" spans="1:6" ht="37.5" customHeight="1" x14ac:dyDescent="0.25">
      <c r="A20" s="1" t="s">
        <v>935</v>
      </c>
      <c r="B20" s="41" t="s">
        <v>936</v>
      </c>
      <c r="C20" s="10" t="s">
        <v>919</v>
      </c>
      <c r="D20" s="10" t="s">
        <v>937</v>
      </c>
      <c r="E20" s="10" t="s">
        <v>938</v>
      </c>
    </row>
    <row r="21" spans="1:6" ht="37.5" customHeight="1" x14ac:dyDescent="0.25">
      <c r="A21" s="1" t="s">
        <v>939</v>
      </c>
      <c r="B21" s="41" t="s">
        <v>940</v>
      </c>
      <c r="C21" s="10" t="s">
        <v>941</v>
      </c>
      <c r="D21" s="10" t="s">
        <v>942</v>
      </c>
      <c r="E21" s="10" t="s">
        <v>943</v>
      </c>
    </row>
    <row r="23" spans="1:6" ht="15.75" customHeight="1" x14ac:dyDescent="0.25">
      <c r="A23" s="28" t="s">
        <v>944</v>
      </c>
    </row>
    <row r="24" spans="1:6" x14ac:dyDescent="0.25">
      <c r="A24" s="42" t="s">
        <v>945</v>
      </c>
      <c r="B24" s="42" t="s">
        <v>946</v>
      </c>
      <c r="C24" s="42" t="s">
        <v>947</v>
      </c>
      <c r="D24" s="42" t="s">
        <v>948</v>
      </c>
      <c r="E24" s="42" t="s">
        <v>949</v>
      </c>
      <c r="F24" s="42" t="s">
        <v>950</v>
      </c>
    </row>
    <row r="25" spans="1:6" ht="37.5" customHeight="1" x14ac:dyDescent="0.25">
      <c r="A25" s="1" t="s">
        <v>951</v>
      </c>
      <c r="B25" s="10" t="s">
        <v>952</v>
      </c>
      <c r="C25" s="10" t="s">
        <v>953</v>
      </c>
      <c r="D25" s="10" t="s">
        <v>954</v>
      </c>
      <c r="E25" s="10" t="s">
        <v>955</v>
      </c>
      <c r="F25" s="41" t="s">
        <v>956</v>
      </c>
    </row>
    <row r="26" spans="1:6" ht="37.5" customHeight="1" x14ac:dyDescent="0.25">
      <c r="A26" s="1" t="s">
        <v>957</v>
      </c>
      <c r="B26" s="10" t="s">
        <v>958</v>
      </c>
      <c r="C26" s="10" t="s">
        <v>959</v>
      </c>
      <c r="D26" s="10" t="s">
        <v>960</v>
      </c>
      <c r="E26" s="10" t="s">
        <v>961</v>
      </c>
      <c r="F26" s="41" t="s">
        <v>962</v>
      </c>
    </row>
    <row r="27" spans="1:6" ht="37.5" customHeight="1" x14ac:dyDescent="0.25">
      <c r="A27" s="1" t="s">
        <v>963</v>
      </c>
      <c r="B27" s="10" t="s">
        <v>964</v>
      </c>
      <c r="C27" s="10" t="s">
        <v>965</v>
      </c>
      <c r="D27" s="10" t="s">
        <v>966</v>
      </c>
      <c r="E27" s="10" t="s">
        <v>967</v>
      </c>
      <c r="F27" s="41" t="s">
        <v>968</v>
      </c>
    </row>
    <row r="28" spans="1:6" ht="37.5" customHeight="1" x14ac:dyDescent="0.25">
      <c r="A28" s="1" t="s">
        <v>969</v>
      </c>
      <c r="B28" s="10" t="s">
        <v>970</v>
      </c>
      <c r="C28" s="10" t="s">
        <v>971</v>
      </c>
      <c r="D28" s="10" t="s">
        <v>972</v>
      </c>
      <c r="E28" s="10" t="s">
        <v>973</v>
      </c>
      <c r="F28" s="41" t="s">
        <v>974</v>
      </c>
    </row>
    <row r="29" spans="1:6" ht="37.5" customHeight="1" x14ac:dyDescent="0.25">
      <c r="A29" s="1" t="s">
        <v>975</v>
      </c>
      <c r="B29" s="10" t="s">
        <v>976</v>
      </c>
      <c r="C29" s="10" t="s">
        <v>977</v>
      </c>
      <c r="D29" s="10" t="s">
        <v>978</v>
      </c>
      <c r="E29" s="10" t="s">
        <v>979</v>
      </c>
      <c r="F29" s="41" t="s">
        <v>980</v>
      </c>
    </row>
    <row r="30" spans="1:6" ht="37.5" customHeight="1" x14ac:dyDescent="0.25">
      <c r="A30" s="1" t="s">
        <v>981</v>
      </c>
      <c r="B30" s="10" t="s">
        <v>982</v>
      </c>
      <c r="C30" s="10" t="s">
        <v>983</v>
      </c>
      <c r="D30" s="10" t="s">
        <v>984</v>
      </c>
      <c r="E30" s="10" t="s">
        <v>985</v>
      </c>
      <c r="F30" s="41" t="s">
        <v>986</v>
      </c>
    </row>
    <row r="31" spans="1:6" ht="50.1" customHeight="1" x14ac:dyDescent="0.25">
      <c r="A31" s="1" t="s">
        <v>987</v>
      </c>
      <c r="B31" s="10" t="s">
        <v>988</v>
      </c>
      <c r="C31" s="10" t="s">
        <v>989</v>
      </c>
      <c r="D31" s="10" t="s">
        <v>990</v>
      </c>
      <c r="E31" s="10" t="s">
        <v>991</v>
      </c>
      <c r="F31" s="41" t="s">
        <v>992</v>
      </c>
    </row>
    <row r="32" spans="1:6" ht="37.5" customHeight="1" x14ac:dyDescent="0.25">
      <c r="A32" s="1" t="s">
        <v>993</v>
      </c>
      <c r="B32" s="10" t="s">
        <v>994</v>
      </c>
      <c r="C32" s="10" t="s">
        <v>995</v>
      </c>
      <c r="D32" s="10" t="s">
        <v>996</v>
      </c>
      <c r="E32" s="10" t="s">
        <v>997</v>
      </c>
      <c r="F32" s="41" t="s">
        <v>998</v>
      </c>
    </row>
    <row r="33" spans="1:1" x14ac:dyDescent="0.25">
      <c r="A33" s="43" t="s">
        <v>701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8"/>
  <sheetViews>
    <sheetView zoomScale="90" workbookViewId="0"/>
  </sheetViews>
  <sheetFormatPr defaultRowHeight="15" x14ac:dyDescent="0.25"/>
  <cols>
    <col min="1" max="1" width="22" customWidth="1"/>
    <col min="2" max="2" width="40" customWidth="1"/>
    <col min="3" max="3" width="34" customWidth="1"/>
    <col min="4" max="4" width="44" customWidth="1"/>
    <col min="5" max="5" width="28" customWidth="1"/>
    <col min="6" max="6" width="26" customWidth="1"/>
    <col min="7" max="7" width="44" customWidth="1"/>
    <col min="8" max="8" width="22" customWidth="1"/>
  </cols>
  <sheetData>
    <row r="1" spans="1:8" ht="15.75" customHeight="1" x14ac:dyDescent="0.25">
      <c r="A1" s="28" t="s">
        <v>999</v>
      </c>
    </row>
    <row r="2" spans="1:8" x14ac:dyDescent="0.25">
      <c r="A2" s="29" t="s">
        <v>1000</v>
      </c>
    </row>
    <row r="3" spans="1:8" ht="25.5" customHeight="1" x14ac:dyDescent="0.25">
      <c r="A3" s="42" t="s">
        <v>704</v>
      </c>
      <c r="B3" s="42" t="s">
        <v>1001</v>
      </c>
      <c r="C3" s="42" t="s">
        <v>1002</v>
      </c>
      <c r="D3" s="42" t="s">
        <v>1003</v>
      </c>
      <c r="E3" s="42" t="s">
        <v>1004</v>
      </c>
      <c r="F3" s="42" t="s">
        <v>1005</v>
      </c>
      <c r="G3" s="42" t="s">
        <v>1006</v>
      </c>
      <c r="H3" s="42" t="s">
        <v>1007</v>
      </c>
    </row>
    <row r="4" spans="1:8" ht="50.1" customHeight="1" x14ac:dyDescent="0.25">
      <c r="A4" s="1" t="s">
        <v>1008</v>
      </c>
      <c r="B4" s="10" t="s">
        <v>1009</v>
      </c>
      <c r="C4" s="10" t="s">
        <v>1010</v>
      </c>
      <c r="D4" s="10" t="s">
        <v>1011</v>
      </c>
      <c r="E4" s="10" t="s">
        <v>1012</v>
      </c>
      <c r="F4" s="10" t="s">
        <v>1013</v>
      </c>
      <c r="G4" s="10" t="s">
        <v>1014</v>
      </c>
      <c r="H4" s="41" t="s">
        <v>1015</v>
      </c>
    </row>
    <row r="5" spans="1:8" ht="37.5" customHeight="1" x14ac:dyDescent="0.25">
      <c r="A5" s="1" t="s">
        <v>1016</v>
      </c>
      <c r="B5" s="10" t="s">
        <v>1017</v>
      </c>
      <c r="C5" s="10" t="s">
        <v>1018</v>
      </c>
      <c r="D5" s="10" t="s">
        <v>1019</v>
      </c>
      <c r="E5" s="10" t="s">
        <v>1020</v>
      </c>
      <c r="F5" s="10" t="s">
        <v>1021</v>
      </c>
      <c r="G5" s="10" t="s">
        <v>1022</v>
      </c>
      <c r="H5" s="41" t="s">
        <v>1023</v>
      </c>
    </row>
    <row r="6" spans="1:8" ht="37.5" customHeight="1" x14ac:dyDescent="0.25">
      <c r="A6" s="1" t="s">
        <v>1024</v>
      </c>
      <c r="B6" s="10" t="s">
        <v>1025</v>
      </c>
      <c r="C6" s="10" t="s">
        <v>1026</v>
      </c>
      <c r="D6" s="10" t="s">
        <v>1027</v>
      </c>
      <c r="E6" s="10" t="s">
        <v>1028</v>
      </c>
      <c r="F6" s="10" t="s">
        <v>1029</v>
      </c>
      <c r="G6" s="10" t="s">
        <v>1030</v>
      </c>
      <c r="H6" s="41" t="s">
        <v>1031</v>
      </c>
    </row>
    <row r="7" spans="1:8" ht="50.1" customHeight="1" x14ac:dyDescent="0.25">
      <c r="A7" s="1" t="s">
        <v>1032</v>
      </c>
      <c r="B7" s="10" t="s">
        <v>1033</v>
      </c>
      <c r="C7" s="10" t="s">
        <v>1034</v>
      </c>
      <c r="D7" s="10" t="s">
        <v>1035</v>
      </c>
      <c r="E7" s="10" t="s">
        <v>1036</v>
      </c>
      <c r="F7" s="10" t="s">
        <v>1037</v>
      </c>
      <c r="G7" s="10" t="s">
        <v>1038</v>
      </c>
      <c r="H7" s="41" t="s">
        <v>1039</v>
      </c>
    </row>
    <row r="8" spans="1:8" ht="37.5" customHeight="1" x14ac:dyDescent="0.25">
      <c r="A8" s="1" t="s">
        <v>1040</v>
      </c>
      <c r="B8" s="10" t="s">
        <v>1041</v>
      </c>
      <c r="C8" s="10" t="s">
        <v>1042</v>
      </c>
      <c r="D8" s="10" t="s">
        <v>1043</v>
      </c>
      <c r="E8" s="10" t="s">
        <v>1044</v>
      </c>
      <c r="F8" s="10" t="s">
        <v>1045</v>
      </c>
      <c r="G8" s="10" t="s">
        <v>1046</v>
      </c>
      <c r="H8" s="41" t="s">
        <v>740</v>
      </c>
    </row>
    <row r="9" spans="1:8" ht="50.1" customHeight="1" x14ac:dyDescent="0.25">
      <c r="A9" s="1" t="s">
        <v>1047</v>
      </c>
      <c r="B9" s="10" t="s">
        <v>1048</v>
      </c>
      <c r="C9" s="10" t="s">
        <v>1049</v>
      </c>
      <c r="D9" s="10" t="s">
        <v>1050</v>
      </c>
      <c r="E9" s="10" t="s">
        <v>750</v>
      </c>
      <c r="F9" s="10" t="s">
        <v>1051</v>
      </c>
      <c r="G9" s="10" t="s">
        <v>1052</v>
      </c>
      <c r="H9" s="41" t="s">
        <v>1053</v>
      </c>
    </row>
    <row r="10" spans="1:8" ht="50.1" customHeight="1" x14ac:dyDescent="0.25">
      <c r="A10" s="1" t="s">
        <v>1054</v>
      </c>
      <c r="B10" s="10" t="s">
        <v>1055</v>
      </c>
      <c r="C10" s="10" t="s">
        <v>1056</v>
      </c>
      <c r="D10" s="10" t="s">
        <v>1057</v>
      </c>
      <c r="E10" s="10" t="s">
        <v>1058</v>
      </c>
      <c r="F10" s="10" t="s">
        <v>1059</v>
      </c>
      <c r="G10" s="10" t="s">
        <v>1060</v>
      </c>
      <c r="H10" s="41" t="s">
        <v>1061</v>
      </c>
    </row>
    <row r="11" spans="1:8" ht="37.5" customHeight="1" x14ac:dyDescent="0.25">
      <c r="A11" s="1" t="s">
        <v>1062</v>
      </c>
      <c r="B11" s="10" t="s">
        <v>1063</v>
      </c>
      <c r="C11" s="10" t="s">
        <v>1064</v>
      </c>
      <c r="D11" s="10" t="s">
        <v>1065</v>
      </c>
      <c r="E11" s="10" t="s">
        <v>1066</v>
      </c>
      <c r="F11" s="10" t="s">
        <v>1067</v>
      </c>
      <c r="G11" s="10" t="s">
        <v>1068</v>
      </c>
      <c r="H11" s="41" t="s">
        <v>1069</v>
      </c>
    </row>
    <row r="12" spans="1:8" ht="50.1" customHeight="1" x14ac:dyDescent="0.25">
      <c r="A12" s="1" t="s">
        <v>1070</v>
      </c>
      <c r="B12" s="10" t="s">
        <v>1071</v>
      </c>
      <c r="C12" s="10" t="s">
        <v>1072</v>
      </c>
      <c r="D12" s="10" t="s">
        <v>1073</v>
      </c>
      <c r="E12" s="10" t="s">
        <v>1074</v>
      </c>
      <c r="F12" s="10" t="s">
        <v>1075</v>
      </c>
      <c r="G12" s="10" t="s">
        <v>1076</v>
      </c>
      <c r="H12" s="41" t="s">
        <v>1077</v>
      </c>
    </row>
    <row r="13" spans="1:8" ht="37.5" customHeight="1" x14ac:dyDescent="0.25">
      <c r="A13" s="1" t="s">
        <v>1078</v>
      </c>
      <c r="B13" s="10" t="s">
        <v>1079</v>
      </c>
      <c r="C13" s="10" t="s">
        <v>1080</v>
      </c>
      <c r="D13" s="10" t="s">
        <v>1081</v>
      </c>
      <c r="E13" s="10" t="s">
        <v>778</v>
      </c>
      <c r="F13" s="10" t="s">
        <v>1082</v>
      </c>
      <c r="G13" s="10" t="s">
        <v>1083</v>
      </c>
      <c r="H13" s="41" t="s">
        <v>1084</v>
      </c>
    </row>
    <row r="14" spans="1:8" ht="37.5" customHeight="1" x14ac:dyDescent="0.25">
      <c r="A14" s="1" t="s">
        <v>1085</v>
      </c>
      <c r="B14" s="10" t="s">
        <v>1086</v>
      </c>
      <c r="C14" s="10" t="s">
        <v>1087</v>
      </c>
      <c r="D14" s="10" t="s">
        <v>1088</v>
      </c>
      <c r="E14" s="10" t="s">
        <v>1089</v>
      </c>
      <c r="F14" s="10" t="s">
        <v>1013</v>
      </c>
      <c r="G14" s="10" t="s">
        <v>1090</v>
      </c>
      <c r="H14" s="41" t="s">
        <v>1091</v>
      </c>
    </row>
    <row r="16" spans="1:8" ht="15.75" customHeight="1" x14ac:dyDescent="0.25">
      <c r="A16" s="28" t="s">
        <v>1092</v>
      </c>
    </row>
    <row r="17" spans="1:3" x14ac:dyDescent="0.25">
      <c r="A17" s="42" t="s">
        <v>707</v>
      </c>
      <c r="B17" s="42" t="s">
        <v>1093</v>
      </c>
      <c r="C17" s="42" t="s">
        <v>1094</v>
      </c>
    </row>
    <row r="18" spans="1:3" ht="24.95" customHeight="1" x14ac:dyDescent="0.25">
      <c r="A18" s="37" t="s">
        <v>1095</v>
      </c>
      <c r="B18" s="41" t="s">
        <v>1096</v>
      </c>
      <c r="C18" s="10" t="s">
        <v>1097</v>
      </c>
    </row>
    <row r="19" spans="1:3" ht="24.95" customHeight="1" x14ac:dyDescent="0.25">
      <c r="A19" s="37" t="s">
        <v>1098</v>
      </c>
      <c r="B19" s="41" t="s">
        <v>1099</v>
      </c>
      <c r="C19" s="10" t="s">
        <v>1100</v>
      </c>
    </row>
    <row r="20" spans="1:3" ht="37.5" customHeight="1" x14ac:dyDescent="0.25">
      <c r="A20" s="37" t="s">
        <v>1101</v>
      </c>
      <c r="B20" s="41" t="s">
        <v>1102</v>
      </c>
      <c r="C20" s="10" t="s">
        <v>1103</v>
      </c>
    </row>
    <row r="21" spans="1:3" ht="24.95" customHeight="1" x14ac:dyDescent="0.25">
      <c r="A21" s="37" t="s">
        <v>1104</v>
      </c>
      <c r="B21" s="41" t="s">
        <v>1105</v>
      </c>
      <c r="C21" s="10" t="s">
        <v>1106</v>
      </c>
    </row>
    <row r="22" spans="1:3" ht="37.5" customHeight="1" x14ac:dyDescent="0.25">
      <c r="A22" s="37" t="s">
        <v>1107</v>
      </c>
      <c r="B22" s="41" t="s">
        <v>1108</v>
      </c>
      <c r="C22" s="10" t="s">
        <v>1109</v>
      </c>
    </row>
    <row r="23" spans="1:3" ht="37.5" customHeight="1" x14ac:dyDescent="0.25">
      <c r="A23" s="37" t="s">
        <v>770</v>
      </c>
      <c r="B23" s="41" t="s">
        <v>1110</v>
      </c>
      <c r="C23" s="10" t="s">
        <v>1111</v>
      </c>
    </row>
    <row r="24" spans="1:3" ht="37.5" customHeight="1" x14ac:dyDescent="0.25">
      <c r="A24" s="37" t="s">
        <v>1112</v>
      </c>
      <c r="B24" s="41" t="s">
        <v>1113</v>
      </c>
      <c r="C24" s="10" t="s">
        <v>1114</v>
      </c>
    </row>
    <row r="25" spans="1:3" ht="37.5" customHeight="1" x14ac:dyDescent="0.25">
      <c r="A25" s="37" t="s">
        <v>1115</v>
      </c>
      <c r="B25" s="41" t="s">
        <v>782</v>
      </c>
      <c r="C25" s="10" t="s">
        <v>1116</v>
      </c>
    </row>
    <row r="26" spans="1:3" ht="37.5" customHeight="1" x14ac:dyDescent="0.25">
      <c r="A26" s="37" t="s">
        <v>1117</v>
      </c>
      <c r="B26" s="41" t="s">
        <v>1118</v>
      </c>
      <c r="C26" s="10" t="s">
        <v>1119</v>
      </c>
    </row>
    <row r="27" spans="1:3" ht="24.95" customHeight="1" x14ac:dyDescent="0.25">
      <c r="A27" s="37" t="s">
        <v>1120</v>
      </c>
      <c r="B27" s="41" t="s">
        <v>267</v>
      </c>
      <c r="C27" s="10" t="s">
        <v>1121</v>
      </c>
    </row>
    <row r="28" spans="1:3" x14ac:dyDescent="0.25">
      <c r="A28" s="43" t="s">
        <v>701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7"/>
  <sheetViews>
    <sheetView zoomScale="90" workbookViewId="0"/>
  </sheetViews>
  <sheetFormatPr defaultRowHeight="15" x14ac:dyDescent="0.25"/>
  <cols>
    <col min="1" max="1" width="30" customWidth="1"/>
    <col min="2" max="11" width="16" customWidth="1"/>
  </cols>
  <sheetData>
    <row r="1" spans="1:9" ht="15.75" customHeight="1" x14ac:dyDescent="0.25">
      <c r="A1" s="28" t="s">
        <v>1122</v>
      </c>
    </row>
    <row r="2" spans="1:9" x14ac:dyDescent="0.25">
      <c r="A2" s="29" t="s">
        <v>1123</v>
      </c>
    </row>
    <row r="3" spans="1:9" ht="15.75" customHeight="1" x14ac:dyDescent="0.25">
      <c r="A3" s="28" t="s">
        <v>1124</v>
      </c>
    </row>
    <row r="4" spans="1:9" ht="38.25" customHeight="1" x14ac:dyDescent="0.25">
      <c r="A4" s="42" t="s">
        <v>1125</v>
      </c>
      <c r="B4" s="42" t="s">
        <v>1126</v>
      </c>
      <c r="C4" s="42" t="s">
        <v>1127</v>
      </c>
      <c r="D4" s="42" t="s">
        <v>1128</v>
      </c>
      <c r="E4" s="42" t="s">
        <v>1129</v>
      </c>
      <c r="F4" s="42" t="s">
        <v>1130</v>
      </c>
      <c r="G4" s="42" t="s">
        <v>1002</v>
      </c>
      <c r="H4" s="42" t="s">
        <v>1131</v>
      </c>
      <c r="I4" s="42" t="s">
        <v>1132</v>
      </c>
    </row>
    <row r="5" spans="1:9" ht="50.1" customHeight="1" x14ac:dyDescent="0.25">
      <c r="A5" s="1" t="s">
        <v>1133</v>
      </c>
      <c r="B5" s="41" t="s">
        <v>1134</v>
      </c>
      <c r="C5" s="41" t="s">
        <v>1135</v>
      </c>
      <c r="D5" s="41" t="s">
        <v>1136</v>
      </c>
      <c r="E5" s="10" t="s">
        <v>1137</v>
      </c>
      <c r="F5" s="10" t="s">
        <v>1138</v>
      </c>
      <c r="G5" s="10" t="s">
        <v>1139</v>
      </c>
      <c r="H5" s="10" t="s">
        <v>1140</v>
      </c>
      <c r="I5" s="41" t="s">
        <v>1141</v>
      </c>
    </row>
    <row r="6" spans="1:9" ht="37.5" customHeight="1" x14ac:dyDescent="0.25">
      <c r="A6" s="1" t="s">
        <v>1142</v>
      </c>
      <c r="B6" s="41" t="s">
        <v>1029</v>
      </c>
      <c r="C6" s="41" t="s">
        <v>1143</v>
      </c>
      <c r="D6" s="41" t="s">
        <v>1144</v>
      </c>
      <c r="E6" s="10" t="s">
        <v>1145</v>
      </c>
      <c r="F6" s="10" t="s">
        <v>1146</v>
      </c>
      <c r="G6" s="10" t="s">
        <v>1147</v>
      </c>
      <c r="H6" s="10" t="s">
        <v>1148</v>
      </c>
      <c r="I6" s="41" t="s">
        <v>1149</v>
      </c>
    </row>
    <row r="7" spans="1:9" ht="62.45" customHeight="1" x14ac:dyDescent="0.25">
      <c r="A7" s="1" t="s">
        <v>1150</v>
      </c>
      <c r="B7" s="41" t="s">
        <v>1151</v>
      </c>
      <c r="C7" s="41" t="s">
        <v>1152</v>
      </c>
      <c r="D7" s="41" t="s">
        <v>1153</v>
      </c>
      <c r="E7" s="10" t="s">
        <v>1154</v>
      </c>
      <c r="F7" s="10" t="s">
        <v>1155</v>
      </c>
      <c r="G7" s="10" t="s">
        <v>1156</v>
      </c>
      <c r="H7" s="10" t="s">
        <v>1157</v>
      </c>
      <c r="I7" s="41" t="s">
        <v>1158</v>
      </c>
    </row>
    <row r="8" spans="1:9" ht="50.1" customHeight="1" x14ac:dyDescent="0.25">
      <c r="A8" s="1" t="s">
        <v>1159</v>
      </c>
      <c r="B8" s="41" t="s">
        <v>1160</v>
      </c>
      <c r="C8" s="41" t="s">
        <v>1161</v>
      </c>
      <c r="D8" s="41" t="s">
        <v>1162</v>
      </c>
      <c r="E8" s="10" t="s">
        <v>1163</v>
      </c>
      <c r="F8" s="10" t="s">
        <v>1164</v>
      </c>
      <c r="G8" s="10" t="s">
        <v>1165</v>
      </c>
      <c r="H8" s="10" t="s">
        <v>1166</v>
      </c>
      <c r="I8" s="41" t="s">
        <v>1167</v>
      </c>
    </row>
    <row r="9" spans="1:9" ht="37.5" customHeight="1" x14ac:dyDescent="0.25">
      <c r="A9" s="1" t="s">
        <v>1168</v>
      </c>
      <c r="B9" s="41" t="s">
        <v>1169</v>
      </c>
      <c r="C9" s="41" t="s">
        <v>1170</v>
      </c>
      <c r="D9" s="41" t="s">
        <v>1171</v>
      </c>
      <c r="E9" s="10" t="s">
        <v>1172</v>
      </c>
      <c r="F9" s="10" t="s">
        <v>1173</v>
      </c>
      <c r="G9" s="10" t="s">
        <v>1174</v>
      </c>
      <c r="H9" s="10" t="s">
        <v>1175</v>
      </c>
      <c r="I9" s="41" t="s">
        <v>1176</v>
      </c>
    </row>
    <row r="10" spans="1:9" ht="50.1" customHeight="1" x14ac:dyDescent="0.25">
      <c r="A10" s="1" t="s">
        <v>1177</v>
      </c>
      <c r="B10" s="41" t="s">
        <v>1178</v>
      </c>
      <c r="C10" s="41" t="s">
        <v>1179</v>
      </c>
      <c r="D10" s="41" t="s">
        <v>1180</v>
      </c>
      <c r="E10" s="10" t="s">
        <v>1181</v>
      </c>
      <c r="F10" s="10" t="s">
        <v>1182</v>
      </c>
      <c r="G10" s="10" t="s">
        <v>1183</v>
      </c>
      <c r="H10" s="10" t="s">
        <v>1184</v>
      </c>
      <c r="I10" s="41" t="s">
        <v>1185</v>
      </c>
    </row>
    <row r="11" spans="1:9" ht="37.5" customHeight="1" x14ac:dyDescent="0.25">
      <c r="A11" s="1" t="s">
        <v>1186</v>
      </c>
      <c r="B11" s="41" t="s">
        <v>1187</v>
      </c>
      <c r="C11" s="41" t="s">
        <v>1188</v>
      </c>
      <c r="D11" s="41" t="s">
        <v>1189</v>
      </c>
      <c r="E11" s="10" t="s">
        <v>1190</v>
      </c>
      <c r="F11" s="10" t="s">
        <v>1191</v>
      </c>
      <c r="G11" s="10" t="s">
        <v>1192</v>
      </c>
      <c r="H11" s="10" t="s">
        <v>1193</v>
      </c>
      <c r="I11" s="41" t="s">
        <v>1194</v>
      </c>
    </row>
    <row r="13" spans="1:9" ht="15.75" customHeight="1" x14ac:dyDescent="0.25">
      <c r="A13" s="28" t="s">
        <v>1195</v>
      </c>
    </row>
    <row r="14" spans="1:9" ht="51" customHeight="1" x14ac:dyDescent="0.25">
      <c r="A14" s="42" t="s">
        <v>1196</v>
      </c>
      <c r="B14" s="42" t="s">
        <v>1197</v>
      </c>
      <c r="C14" s="42" t="s">
        <v>1198</v>
      </c>
      <c r="D14" s="42" t="s">
        <v>1199</v>
      </c>
      <c r="E14" s="42" t="s">
        <v>1200</v>
      </c>
      <c r="F14" s="42" t="s">
        <v>1201</v>
      </c>
      <c r="G14" s="42" t="s">
        <v>1128</v>
      </c>
      <c r="H14" s="42" t="s">
        <v>1132</v>
      </c>
    </row>
    <row r="15" spans="1:9" ht="50.1" customHeight="1" x14ac:dyDescent="0.25">
      <c r="A15" s="1" t="s">
        <v>1202</v>
      </c>
      <c r="B15" s="41" t="s">
        <v>1203</v>
      </c>
      <c r="C15" s="10" t="s">
        <v>1204</v>
      </c>
      <c r="D15" s="10" t="s">
        <v>1205</v>
      </c>
      <c r="E15" s="10" t="s">
        <v>1206</v>
      </c>
      <c r="F15" s="10" t="s">
        <v>1207</v>
      </c>
      <c r="G15" s="41" t="s">
        <v>1208</v>
      </c>
      <c r="H15" s="41" t="s">
        <v>1209</v>
      </c>
    </row>
    <row r="16" spans="1:9" ht="37.5" customHeight="1" x14ac:dyDescent="0.25">
      <c r="A16" s="1" t="s">
        <v>1210</v>
      </c>
      <c r="B16" s="41" t="s">
        <v>1211</v>
      </c>
      <c r="C16" s="10" t="s">
        <v>1212</v>
      </c>
      <c r="D16" s="10" t="s">
        <v>1205</v>
      </c>
      <c r="E16" s="10" t="s">
        <v>1213</v>
      </c>
      <c r="F16" s="10" t="s">
        <v>1214</v>
      </c>
      <c r="G16" s="41" t="s">
        <v>1215</v>
      </c>
      <c r="H16" s="41" t="s">
        <v>1216</v>
      </c>
    </row>
    <row r="17" spans="1:8" ht="37.5" customHeight="1" x14ac:dyDescent="0.25">
      <c r="A17" s="1" t="s">
        <v>1028</v>
      </c>
      <c r="B17" s="41" t="s">
        <v>1217</v>
      </c>
      <c r="C17" s="10" t="s">
        <v>1218</v>
      </c>
      <c r="D17" s="10" t="s">
        <v>1029</v>
      </c>
      <c r="E17" s="10" t="s">
        <v>1219</v>
      </c>
      <c r="F17" s="10" t="s">
        <v>1220</v>
      </c>
      <c r="G17" s="41" t="s">
        <v>1221</v>
      </c>
      <c r="H17" s="41" t="s">
        <v>1222</v>
      </c>
    </row>
    <row r="18" spans="1:8" ht="50.1" customHeight="1" x14ac:dyDescent="0.25">
      <c r="A18" s="1" t="s">
        <v>1223</v>
      </c>
      <c r="B18" s="41" t="s">
        <v>1224</v>
      </c>
      <c r="C18" s="10" t="s">
        <v>1225</v>
      </c>
      <c r="D18" s="10" t="s">
        <v>1226</v>
      </c>
      <c r="E18" s="10" t="s">
        <v>1227</v>
      </c>
      <c r="F18" s="10" t="s">
        <v>1228</v>
      </c>
      <c r="G18" s="41" t="s">
        <v>1229</v>
      </c>
      <c r="H18" s="41" t="s">
        <v>1230</v>
      </c>
    </row>
    <row r="19" spans="1:8" ht="37.5" customHeight="1" x14ac:dyDescent="0.25">
      <c r="A19" s="1" t="s">
        <v>1231</v>
      </c>
      <c r="B19" s="41" t="s">
        <v>1232</v>
      </c>
      <c r="C19" s="10" t="s">
        <v>1233</v>
      </c>
      <c r="D19" s="10" t="s">
        <v>1234</v>
      </c>
      <c r="E19" s="10" t="s">
        <v>1235</v>
      </c>
      <c r="F19" s="10" t="s">
        <v>1236</v>
      </c>
      <c r="G19" s="41" t="s">
        <v>1237</v>
      </c>
      <c r="H19" s="41" t="s">
        <v>1238</v>
      </c>
    </row>
    <row r="20" spans="1:8" ht="37.5" customHeight="1" x14ac:dyDescent="0.25">
      <c r="A20" s="1" t="s">
        <v>1239</v>
      </c>
      <c r="B20" s="41" t="s">
        <v>1240</v>
      </c>
      <c r="C20" s="10" t="s">
        <v>1241</v>
      </c>
      <c r="D20" s="10" t="s">
        <v>1242</v>
      </c>
      <c r="E20" s="10" t="s">
        <v>1243</v>
      </c>
      <c r="F20" s="10" t="s">
        <v>1244</v>
      </c>
      <c r="G20" s="41" t="s">
        <v>1245</v>
      </c>
      <c r="H20" s="41" t="s">
        <v>1246</v>
      </c>
    </row>
    <row r="21" spans="1:8" ht="37.5" customHeight="1" x14ac:dyDescent="0.25">
      <c r="A21" s="1" t="s">
        <v>1247</v>
      </c>
      <c r="B21" s="41" t="s">
        <v>1248</v>
      </c>
      <c r="C21" s="10" t="s">
        <v>1249</v>
      </c>
      <c r="D21" s="10" t="s">
        <v>1250</v>
      </c>
      <c r="E21" s="10" t="s">
        <v>1251</v>
      </c>
      <c r="F21" s="10" t="s">
        <v>1252</v>
      </c>
      <c r="G21" s="41" t="s">
        <v>1253</v>
      </c>
      <c r="H21" s="41" t="s">
        <v>1254</v>
      </c>
    </row>
    <row r="22" spans="1:8" ht="37.5" customHeight="1" x14ac:dyDescent="0.25">
      <c r="A22" s="1" t="s">
        <v>1255</v>
      </c>
      <c r="B22" s="41" t="s">
        <v>1256</v>
      </c>
      <c r="C22" s="10" t="s">
        <v>1257</v>
      </c>
      <c r="D22" s="10" t="s">
        <v>1258</v>
      </c>
      <c r="E22" s="10" t="s">
        <v>1259</v>
      </c>
      <c r="F22" s="10" t="s">
        <v>1260</v>
      </c>
      <c r="G22" s="41" t="s">
        <v>1261</v>
      </c>
      <c r="H22" s="41" t="s">
        <v>1262</v>
      </c>
    </row>
    <row r="23" spans="1:8" ht="37.5" customHeight="1" x14ac:dyDescent="0.25">
      <c r="A23" s="1" t="s">
        <v>1263</v>
      </c>
      <c r="B23" s="41" t="s">
        <v>1264</v>
      </c>
      <c r="C23" s="10" t="s">
        <v>1265</v>
      </c>
      <c r="D23" s="10" t="s">
        <v>1021</v>
      </c>
      <c r="E23" s="10" t="s">
        <v>1266</v>
      </c>
      <c r="F23" s="10" t="s">
        <v>1267</v>
      </c>
      <c r="G23" s="41" t="s">
        <v>1268</v>
      </c>
      <c r="H23" s="41" t="s">
        <v>1269</v>
      </c>
    </row>
    <row r="25" spans="1:8" ht="15.75" customHeight="1" x14ac:dyDescent="0.25">
      <c r="A25" s="28" t="s">
        <v>1270</v>
      </c>
    </row>
    <row r="26" spans="1:8" ht="38.25" customHeight="1" x14ac:dyDescent="0.25">
      <c r="A26" s="42" t="s">
        <v>1126</v>
      </c>
      <c r="B26" s="42" t="s">
        <v>1271</v>
      </c>
      <c r="C26" s="42" t="s">
        <v>1272</v>
      </c>
      <c r="D26" s="42" t="s">
        <v>1001</v>
      </c>
      <c r="E26" s="42" t="s">
        <v>1273</v>
      </c>
      <c r="F26" s="42" t="s">
        <v>1274</v>
      </c>
      <c r="G26" s="42" t="s">
        <v>1132</v>
      </c>
    </row>
    <row r="27" spans="1:8" ht="37.5" customHeight="1" x14ac:dyDescent="0.25">
      <c r="A27" s="1" t="s">
        <v>1275</v>
      </c>
      <c r="B27" s="10" t="s">
        <v>1276</v>
      </c>
      <c r="C27" s="10" t="s">
        <v>1277</v>
      </c>
      <c r="D27" s="10" t="s">
        <v>1278</v>
      </c>
      <c r="E27" s="10" t="s">
        <v>1279</v>
      </c>
      <c r="F27" s="41" t="s">
        <v>1280</v>
      </c>
      <c r="G27" s="41" t="s">
        <v>1281</v>
      </c>
    </row>
    <row r="28" spans="1:8" ht="24.95" customHeight="1" x14ac:dyDescent="0.25">
      <c r="A28" s="1" t="s">
        <v>1282</v>
      </c>
      <c r="B28" s="10" t="s">
        <v>1142</v>
      </c>
      <c r="C28" s="10" t="s">
        <v>1283</v>
      </c>
      <c r="D28" s="10" t="s">
        <v>1284</v>
      </c>
      <c r="E28" s="10" t="s">
        <v>1285</v>
      </c>
      <c r="F28" s="41" t="s">
        <v>1221</v>
      </c>
      <c r="G28" s="41" t="s">
        <v>241</v>
      </c>
    </row>
    <row r="29" spans="1:8" ht="37.5" customHeight="1" x14ac:dyDescent="0.25">
      <c r="A29" s="1" t="s">
        <v>1282</v>
      </c>
      <c r="B29" s="10" t="s">
        <v>1286</v>
      </c>
      <c r="C29" s="10" t="s">
        <v>1287</v>
      </c>
      <c r="D29" s="10" t="s">
        <v>1288</v>
      </c>
      <c r="E29" s="10" t="s">
        <v>1289</v>
      </c>
      <c r="F29" s="41" t="s">
        <v>1290</v>
      </c>
      <c r="G29" s="41" t="s">
        <v>1291</v>
      </c>
    </row>
    <row r="30" spans="1:8" ht="37.5" customHeight="1" x14ac:dyDescent="0.25">
      <c r="A30" s="1" t="s">
        <v>1292</v>
      </c>
      <c r="B30" s="10" t="s">
        <v>1293</v>
      </c>
      <c r="C30" s="10" t="s">
        <v>1294</v>
      </c>
      <c r="D30" s="10" t="s">
        <v>1295</v>
      </c>
      <c r="E30" s="10" t="s">
        <v>1296</v>
      </c>
      <c r="F30" s="41" t="s">
        <v>1297</v>
      </c>
      <c r="G30" s="41" t="s">
        <v>1298</v>
      </c>
    </row>
    <row r="31" spans="1:8" ht="37.5" customHeight="1" x14ac:dyDescent="0.25">
      <c r="A31" s="1" t="s">
        <v>1292</v>
      </c>
      <c r="B31" s="10" t="s">
        <v>1299</v>
      </c>
      <c r="C31" s="10" t="s">
        <v>1300</v>
      </c>
      <c r="D31" s="10" t="s">
        <v>1301</v>
      </c>
      <c r="E31" s="10" t="s">
        <v>1302</v>
      </c>
      <c r="F31" s="41" t="s">
        <v>1303</v>
      </c>
      <c r="G31" s="41" t="s">
        <v>1304</v>
      </c>
    </row>
    <row r="32" spans="1:8" ht="37.5" customHeight="1" x14ac:dyDescent="0.25">
      <c r="A32" s="1" t="s">
        <v>1305</v>
      </c>
      <c r="B32" s="10" t="s">
        <v>1306</v>
      </c>
      <c r="C32" s="10" t="s">
        <v>1307</v>
      </c>
      <c r="D32" s="10" t="s">
        <v>1308</v>
      </c>
      <c r="E32" s="10" t="s">
        <v>1309</v>
      </c>
      <c r="F32" s="41" t="s">
        <v>1310</v>
      </c>
      <c r="G32" s="41" t="s">
        <v>1311</v>
      </c>
    </row>
    <row r="33" spans="1:11" ht="37.5" customHeight="1" x14ac:dyDescent="0.25">
      <c r="A33" s="1" t="s">
        <v>1312</v>
      </c>
      <c r="B33" s="10" t="s">
        <v>1313</v>
      </c>
      <c r="C33" s="10" t="s">
        <v>1314</v>
      </c>
      <c r="D33" s="10" t="s">
        <v>1315</v>
      </c>
      <c r="E33" s="10" t="s">
        <v>1316</v>
      </c>
      <c r="F33" s="41" t="s">
        <v>1317</v>
      </c>
      <c r="G33" s="41" t="s">
        <v>1185</v>
      </c>
    </row>
    <row r="34" spans="1:11" ht="37.5" customHeight="1" x14ac:dyDescent="0.25">
      <c r="A34" s="1" t="s">
        <v>1318</v>
      </c>
      <c r="B34" s="10" t="s">
        <v>1319</v>
      </c>
      <c r="C34" s="10" t="s">
        <v>1320</v>
      </c>
      <c r="D34" s="10" t="s">
        <v>1321</v>
      </c>
      <c r="E34" s="10" t="s">
        <v>1322</v>
      </c>
      <c r="F34" s="41" t="s">
        <v>1323</v>
      </c>
      <c r="G34" s="41" t="s">
        <v>1324</v>
      </c>
    </row>
    <row r="36" spans="1:11" ht="15.75" customHeight="1" x14ac:dyDescent="0.25">
      <c r="A36" s="28" t="s">
        <v>1325</v>
      </c>
    </row>
    <row r="37" spans="1:11" x14ac:dyDescent="0.25">
      <c r="A37" s="29" t="s">
        <v>1326</v>
      </c>
    </row>
    <row r="38" spans="1:11" x14ac:dyDescent="0.25">
      <c r="A38" s="42" t="s">
        <v>1327</v>
      </c>
      <c r="B38" s="42" t="s">
        <v>1002</v>
      </c>
      <c r="C38" s="42" t="s">
        <v>1328</v>
      </c>
      <c r="D38" s="42" t="s">
        <v>1329</v>
      </c>
      <c r="E38" s="42" t="s">
        <v>1330</v>
      </c>
      <c r="F38" s="42" t="s">
        <v>1331</v>
      </c>
      <c r="G38" s="42" t="s">
        <v>945</v>
      </c>
      <c r="H38" s="42" t="s">
        <v>1332</v>
      </c>
      <c r="I38" s="42" t="s">
        <v>1333</v>
      </c>
      <c r="J38" s="42" t="s">
        <v>1334</v>
      </c>
      <c r="K38" s="42" t="s">
        <v>1131</v>
      </c>
    </row>
    <row r="39" spans="1:11" ht="37.5" customHeight="1" x14ac:dyDescent="0.25">
      <c r="A39" s="1" t="s">
        <v>1335</v>
      </c>
      <c r="B39" s="10" t="s">
        <v>1336</v>
      </c>
      <c r="C39" s="10"/>
      <c r="D39" s="10" t="s">
        <v>1337</v>
      </c>
      <c r="E39" s="10" t="s">
        <v>1338</v>
      </c>
      <c r="F39" s="10"/>
      <c r="G39" s="10"/>
      <c r="H39" s="10"/>
      <c r="I39" s="10" t="s">
        <v>1339</v>
      </c>
      <c r="J39" s="10" t="s">
        <v>1340</v>
      </c>
      <c r="K39" s="10" t="s">
        <v>1341</v>
      </c>
    </row>
    <row r="40" spans="1:11" ht="37.5" customHeight="1" x14ac:dyDescent="0.25">
      <c r="A40" s="1" t="s">
        <v>1020</v>
      </c>
      <c r="B40" s="10" t="s">
        <v>1342</v>
      </c>
      <c r="C40" s="10" t="s">
        <v>1343</v>
      </c>
      <c r="D40" s="10" t="s">
        <v>1344</v>
      </c>
      <c r="E40" s="10" t="s">
        <v>1345</v>
      </c>
      <c r="F40" s="10"/>
      <c r="G40" s="10" t="s">
        <v>1346</v>
      </c>
      <c r="H40" s="10"/>
      <c r="I40" s="10"/>
      <c r="J40" s="10" t="s">
        <v>1347</v>
      </c>
      <c r="K40" s="10" t="s">
        <v>1348</v>
      </c>
    </row>
    <row r="41" spans="1:11" ht="37.5" customHeight="1" x14ac:dyDescent="0.25">
      <c r="A41" s="1" t="s">
        <v>1028</v>
      </c>
      <c r="B41" s="10"/>
      <c r="C41" s="10" t="s">
        <v>1349</v>
      </c>
      <c r="D41" s="10"/>
      <c r="E41" s="10"/>
      <c r="F41" s="10"/>
      <c r="G41" s="10"/>
      <c r="H41" s="10"/>
      <c r="I41" s="10"/>
      <c r="J41" s="10"/>
      <c r="K41" s="10" t="s">
        <v>1350</v>
      </c>
    </row>
    <row r="42" spans="1:11" ht="37.5" customHeight="1" x14ac:dyDescent="0.25">
      <c r="A42" s="1" t="s">
        <v>1351</v>
      </c>
      <c r="B42" s="10"/>
      <c r="C42" s="10" t="s">
        <v>1352</v>
      </c>
      <c r="D42" s="10" t="s">
        <v>1353</v>
      </c>
      <c r="E42" s="10" t="s">
        <v>1354</v>
      </c>
      <c r="F42" s="10" t="s">
        <v>1355</v>
      </c>
      <c r="G42" s="10" t="s">
        <v>1356</v>
      </c>
      <c r="H42" s="10" t="s">
        <v>1357</v>
      </c>
      <c r="I42" s="10" t="s">
        <v>1358</v>
      </c>
      <c r="J42" s="10" t="s">
        <v>1359</v>
      </c>
      <c r="K42" s="10"/>
    </row>
    <row r="43" spans="1:11" ht="37.5" customHeight="1" x14ac:dyDescent="0.25">
      <c r="A43" s="1" t="s">
        <v>1360</v>
      </c>
      <c r="B43" s="10"/>
      <c r="C43" s="10" t="s">
        <v>1361</v>
      </c>
      <c r="D43" s="10" t="s">
        <v>1362</v>
      </c>
      <c r="E43" s="10" t="s">
        <v>1363</v>
      </c>
      <c r="F43" s="10" t="s">
        <v>1364</v>
      </c>
      <c r="G43" s="10"/>
      <c r="H43" s="10" t="s">
        <v>1365</v>
      </c>
      <c r="I43" s="10" t="s">
        <v>772</v>
      </c>
      <c r="J43" s="10"/>
      <c r="K43" s="10"/>
    </row>
    <row r="44" spans="1:11" ht="24.95" customHeight="1" x14ac:dyDescent="0.25">
      <c r="A44" s="1" t="s">
        <v>1293</v>
      </c>
      <c r="B44" s="10"/>
      <c r="C44" s="10"/>
      <c r="D44" s="10"/>
      <c r="E44" s="10"/>
      <c r="F44" s="10"/>
      <c r="G44" s="10" t="s">
        <v>1366</v>
      </c>
      <c r="H44" s="10" t="s">
        <v>1367</v>
      </c>
      <c r="I44" s="10"/>
      <c r="J44" s="10" t="s">
        <v>1368</v>
      </c>
      <c r="K44" s="10" t="s">
        <v>1369</v>
      </c>
    </row>
    <row r="45" spans="1:11" ht="37.5" customHeight="1" x14ac:dyDescent="0.25">
      <c r="A45" s="1" t="s">
        <v>1370</v>
      </c>
      <c r="B45" s="10"/>
      <c r="C45" s="10"/>
      <c r="D45" s="10"/>
      <c r="E45" s="10" t="s">
        <v>1371</v>
      </c>
      <c r="F45" s="10"/>
      <c r="G45" s="10" t="s">
        <v>1372</v>
      </c>
      <c r="H45" s="10"/>
      <c r="I45" s="10"/>
      <c r="J45" s="10" t="s">
        <v>1373</v>
      </c>
      <c r="K45" s="10"/>
    </row>
    <row r="46" spans="1:11" ht="37.5" customHeight="1" x14ac:dyDescent="0.25">
      <c r="A46" s="1" t="s">
        <v>1231</v>
      </c>
      <c r="B46" s="10" t="s">
        <v>1374</v>
      </c>
      <c r="C46" s="10"/>
      <c r="D46" s="10"/>
      <c r="E46" s="10"/>
      <c r="F46" s="10"/>
      <c r="G46" s="10"/>
      <c r="H46" s="10" t="s">
        <v>1375</v>
      </c>
      <c r="I46" s="10"/>
      <c r="J46" s="10" t="s">
        <v>1376</v>
      </c>
      <c r="K46" s="10" t="s">
        <v>1377</v>
      </c>
    </row>
    <row r="47" spans="1:11" x14ac:dyDescent="0.25">
      <c r="A47" s="43" t="s">
        <v>701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3"/>
  <sheetViews>
    <sheetView zoomScale="90" workbookViewId="0"/>
  </sheetViews>
  <sheetFormatPr defaultRowHeight="15" x14ac:dyDescent="0.25"/>
  <cols>
    <col min="1" max="1" width="30" customWidth="1"/>
    <col min="2" max="2" width="40" customWidth="1"/>
    <col min="3" max="3" width="22" customWidth="1"/>
    <col min="4" max="4" width="55" customWidth="1"/>
    <col min="5" max="6" width="16" customWidth="1"/>
    <col min="7" max="7" width="12" customWidth="1"/>
    <col min="8" max="8" width="22" customWidth="1"/>
  </cols>
  <sheetData>
    <row r="1" spans="1:8" ht="15.75" customHeight="1" x14ac:dyDescent="0.25">
      <c r="A1" s="28" t="s">
        <v>1378</v>
      </c>
    </row>
    <row r="2" spans="1:8" x14ac:dyDescent="0.25">
      <c r="A2" s="29" t="s">
        <v>1379</v>
      </c>
    </row>
    <row r="3" spans="1:8" ht="25.5" customHeight="1" x14ac:dyDescent="0.25">
      <c r="A3" s="42" t="s">
        <v>1380</v>
      </c>
      <c r="B3" s="42" t="s">
        <v>1381</v>
      </c>
      <c r="C3" s="42" t="s">
        <v>1382</v>
      </c>
      <c r="D3" s="42" t="s">
        <v>1383</v>
      </c>
      <c r="E3" s="42" t="s">
        <v>1272</v>
      </c>
      <c r="F3" s="42" t="s">
        <v>1384</v>
      </c>
      <c r="G3" s="42" t="s">
        <v>1385</v>
      </c>
      <c r="H3" s="42" t="s">
        <v>1386</v>
      </c>
    </row>
    <row r="4" spans="1:8" ht="50.1" customHeight="1" x14ac:dyDescent="0.25">
      <c r="A4" s="1" t="s">
        <v>1387</v>
      </c>
      <c r="B4" s="10" t="s">
        <v>1388</v>
      </c>
      <c r="C4" s="10" t="s">
        <v>1389</v>
      </c>
      <c r="D4" s="10" t="s">
        <v>1390</v>
      </c>
      <c r="E4" s="10" t="s">
        <v>1391</v>
      </c>
      <c r="F4" s="10" t="s">
        <v>1392</v>
      </c>
      <c r="G4" s="10" t="s">
        <v>1393</v>
      </c>
      <c r="H4" s="41" t="s">
        <v>1394</v>
      </c>
    </row>
    <row r="5" spans="1:8" ht="62.45" customHeight="1" x14ac:dyDescent="0.25">
      <c r="A5" s="1" t="s">
        <v>1395</v>
      </c>
      <c r="B5" s="10" t="s">
        <v>1396</v>
      </c>
      <c r="C5" s="10" t="s">
        <v>1397</v>
      </c>
      <c r="D5" s="10" t="s">
        <v>1398</v>
      </c>
      <c r="E5" s="10" t="s">
        <v>1399</v>
      </c>
      <c r="F5" s="10" t="s">
        <v>1400</v>
      </c>
      <c r="G5" s="10" t="s">
        <v>1401</v>
      </c>
      <c r="H5" s="41" t="s">
        <v>1402</v>
      </c>
    </row>
    <row r="6" spans="1:8" ht="50.1" customHeight="1" x14ac:dyDescent="0.25">
      <c r="A6" s="1" t="s">
        <v>1403</v>
      </c>
      <c r="B6" s="10" t="s">
        <v>1404</v>
      </c>
      <c r="C6" s="10" t="s">
        <v>1405</v>
      </c>
      <c r="D6" s="10" t="s">
        <v>1406</v>
      </c>
      <c r="E6" s="10" t="s">
        <v>1320</v>
      </c>
      <c r="F6" s="10" t="s">
        <v>1407</v>
      </c>
      <c r="G6" s="10" t="s">
        <v>1408</v>
      </c>
      <c r="H6" s="41" t="s">
        <v>1409</v>
      </c>
    </row>
    <row r="7" spans="1:8" ht="50.1" customHeight="1" x14ac:dyDescent="0.25">
      <c r="A7" s="1" t="s">
        <v>1410</v>
      </c>
      <c r="B7" s="10" t="s">
        <v>1411</v>
      </c>
      <c r="C7" s="10" t="s">
        <v>1412</v>
      </c>
      <c r="D7" s="10" t="s">
        <v>1413</v>
      </c>
      <c r="E7" s="10" t="s">
        <v>1320</v>
      </c>
      <c r="F7" s="10" t="s">
        <v>1414</v>
      </c>
      <c r="G7" s="10" t="s">
        <v>1415</v>
      </c>
      <c r="H7" s="41" t="s">
        <v>1416</v>
      </c>
    </row>
    <row r="8" spans="1:8" ht="37.5" customHeight="1" x14ac:dyDescent="0.25">
      <c r="A8" s="1" t="s">
        <v>1417</v>
      </c>
      <c r="B8" s="10" t="s">
        <v>1418</v>
      </c>
      <c r="C8" s="10" t="s">
        <v>1419</v>
      </c>
      <c r="D8" s="10" t="s">
        <v>1420</v>
      </c>
      <c r="E8" s="10" t="s">
        <v>1277</v>
      </c>
      <c r="F8" s="10" t="s">
        <v>1421</v>
      </c>
      <c r="G8" s="10" t="s">
        <v>1422</v>
      </c>
      <c r="H8" s="41" t="s">
        <v>1423</v>
      </c>
    </row>
    <row r="9" spans="1:8" ht="50.1" customHeight="1" x14ac:dyDescent="0.25">
      <c r="A9" s="1" t="s">
        <v>1424</v>
      </c>
      <c r="B9" s="10" t="s">
        <v>1425</v>
      </c>
      <c r="C9" s="10" t="s">
        <v>1426</v>
      </c>
      <c r="D9" s="10" t="s">
        <v>1427</v>
      </c>
      <c r="E9" s="10" t="s">
        <v>1277</v>
      </c>
      <c r="F9" s="10" t="s">
        <v>1428</v>
      </c>
      <c r="G9" s="10" t="s">
        <v>1429</v>
      </c>
      <c r="H9" s="41" t="s">
        <v>1430</v>
      </c>
    </row>
    <row r="11" spans="1:8" ht="15.75" customHeight="1" x14ac:dyDescent="0.25">
      <c r="A11" s="28" t="s">
        <v>1431</v>
      </c>
    </row>
    <row r="12" spans="1:8" x14ac:dyDescent="0.25">
      <c r="A12" s="29" t="s">
        <v>1432</v>
      </c>
    </row>
    <row r="13" spans="1:8" ht="25.5" customHeight="1" x14ac:dyDescent="0.25">
      <c r="A13" s="42" t="s">
        <v>1433</v>
      </c>
      <c r="B13" s="42" t="s">
        <v>1434</v>
      </c>
      <c r="C13" s="42" t="s">
        <v>1435</v>
      </c>
      <c r="D13" s="42" t="s">
        <v>1436</v>
      </c>
      <c r="E13" s="42" t="s">
        <v>1437</v>
      </c>
      <c r="F13" s="42" t="s">
        <v>1438</v>
      </c>
      <c r="G13" s="42" t="s">
        <v>1439</v>
      </c>
    </row>
    <row r="14" spans="1:8" ht="37.5" customHeight="1" x14ac:dyDescent="0.25">
      <c r="A14" s="1" t="s">
        <v>1440</v>
      </c>
      <c r="B14" s="41" t="s">
        <v>1441</v>
      </c>
      <c r="C14" s="41" t="s">
        <v>1442</v>
      </c>
      <c r="D14" s="41" t="s">
        <v>1443</v>
      </c>
      <c r="E14" s="38"/>
      <c r="F14" s="38"/>
      <c r="G14" s="41" t="s">
        <v>1292</v>
      </c>
    </row>
    <row r="15" spans="1:8" ht="24.95" customHeight="1" x14ac:dyDescent="0.25">
      <c r="A15" s="1" t="s">
        <v>1444</v>
      </c>
      <c r="B15" s="41" t="s">
        <v>1445</v>
      </c>
      <c r="C15" s="41" t="s">
        <v>209</v>
      </c>
      <c r="D15" s="41" t="s">
        <v>1446</v>
      </c>
      <c r="E15" s="38"/>
      <c r="F15" s="38"/>
      <c r="G15" s="41" t="s">
        <v>1292</v>
      </c>
    </row>
    <row r="16" spans="1:8" ht="24.95" customHeight="1" x14ac:dyDescent="0.25">
      <c r="A16" s="1" t="s">
        <v>1447</v>
      </c>
      <c r="B16" s="41" t="s">
        <v>1448</v>
      </c>
      <c r="C16" s="41" t="s">
        <v>1105</v>
      </c>
      <c r="D16" s="41" t="s">
        <v>1449</v>
      </c>
      <c r="E16" s="38"/>
      <c r="F16" s="38"/>
      <c r="G16" s="41" t="s">
        <v>1292</v>
      </c>
    </row>
    <row r="17" spans="1:7" ht="37.5" customHeight="1" x14ac:dyDescent="0.25">
      <c r="A17" s="1" t="s">
        <v>1450</v>
      </c>
      <c r="B17" s="41" t="s">
        <v>1451</v>
      </c>
      <c r="C17" s="41" t="s">
        <v>1452</v>
      </c>
      <c r="D17" s="41" t="s">
        <v>1453</v>
      </c>
      <c r="E17" s="38"/>
      <c r="F17" s="38"/>
      <c r="G17" s="41" t="s">
        <v>1292</v>
      </c>
    </row>
    <row r="18" spans="1:7" ht="24.95" customHeight="1" x14ac:dyDescent="0.25">
      <c r="A18" s="1" t="s">
        <v>1454</v>
      </c>
      <c r="B18" s="41" t="s">
        <v>1455</v>
      </c>
      <c r="C18" s="41" t="s">
        <v>191</v>
      </c>
      <c r="D18" s="41" t="s">
        <v>1456</v>
      </c>
      <c r="E18" s="38"/>
      <c r="F18" s="38"/>
      <c r="G18" s="41" t="s">
        <v>1275</v>
      </c>
    </row>
    <row r="19" spans="1:7" ht="37.5" customHeight="1" x14ac:dyDescent="0.25">
      <c r="A19" s="1" t="s">
        <v>1457</v>
      </c>
      <c r="B19" s="41" t="s">
        <v>1458</v>
      </c>
      <c r="C19" s="41" t="s">
        <v>1459</v>
      </c>
      <c r="D19" s="41" t="s">
        <v>1460</v>
      </c>
      <c r="E19" s="38"/>
      <c r="F19" s="38"/>
      <c r="G19" s="41" t="s">
        <v>1292</v>
      </c>
    </row>
    <row r="20" spans="1:7" ht="37.5" customHeight="1" x14ac:dyDescent="0.25">
      <c r="A20" s="1" t="s">
        <v>1461</v>
      </c>
      <c r="B20" s="41" t="s">
        <v>1462</v>
      </c>
      <c r="C20" s="41" t="s">
        <v>782</v>
      </c>
      <c r="D20" s="41" t="s">
        <v>1463</v>
      </c>
      <c r="E20" s="38"/>
      <c r="F20" s="38"/>
      <c r="G20" s="41" t="s">
        <v>1312</v>
      </c>
    </row>
    <row r="21" spans="1:7" ht="37.5" customHeight="1" x14ac:dyDescent="0.25">
      <c r="A21" s="1" t="s">
        <v>1464</v>
      </c>
      <c r="B21" s="41" t="s">
        <v>1465</v>
      </c>
      <c r="C21" s="41" t="s">
        <v>384</v>
      </c>
      <c r="D21" s="41" t="s">
        <v>1466</v>
      </c>
      <c r="E21" s="38"/>
      <c r="F21" s="38"/>
      <c r="G21" s="41" t="s">
        <v>1292</v>
      </c>
    </row>
    <row r="22" spans="1:7" ht="37.5" customHeight="1" x14ac:dyDescent="0.25">
      <c r="A22" s="1" t="s">
        <v>1467</v>
      </c>
      <c r="B22" s="41" t="s">
        <v>1468</v>
      </c>
      <c r="C22" s="41" t="s">
        <v>1469</v>
      </c>
      <c r="D22" s="41" t="s">
        <v>1470</v>
      </c>
      <c r="E22" s="38"/>
      <c r="F22" s="38"/>
      <c r="G22" s="41" t="s">
        <v>1292</v>
      </c>
    </row>
    <row r="23" spans="1:7" ht="37.5" customHeight="1" x14ac:dyDescent="0.25">
      <c r="A23" s="1" t="s">
        <v>1471</v>
      </c>
      <c r="B23" s="41" t="s">
        <v>1472</v>
      </c>
      <c r="C23" s="41" t="s">
        <v>1324</v>
      </c>
      <c r="D23" s="41" t="s">
        <v>1473</v>
      </c>
      <c r="E23" s="38"/>
      <c r="F23" s="38"/>
      <c r="G23" s="41" t="s">
        <v>1318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7"/>
  <sheetViews>
    <sheetView workbookViewId="0"/>
  </sheetViews>
  <sheetFormatPr defaultRowHeight="15" x14ac:dyDescent="0.25"/>
  <cols>
    <col min="1" max="1" width="8" customWidth="1"/>
    <col min="2" max="2" width="18" customWidth="1"/>
    <col min="3" max="3" width="95" customWidth="1"/>
    <col min="4" max="4" width="14" customWidth="1"/>
  </cols>
  <sheetData>
    <row r="1" spans="1:4" ht="25.5" customHeight="1" x14ac:dyDescent="0.25">
      <c r="A1" s="42" t="s">
        <v>1474</v>
      </c>
      <c r="B1" s="42" t="s">
        <v>1475</v>
      </c>
      <c r="C1" s="42" t="s">
        <v>1476</v>
      </c>
      <c r="D1" s="42" t="s">
        <v>27</v>
      </c>
    </row>
    <row r="2" spans="1:4" x14ac:dyDescent="0.25">
      <c r="A2" s="4" t="s">
        <v>1477</v>
      </c>
      <c r="B2" s="4" t="s">
        <v>207</v>
      </c>
      <c r="C2" s="41" t="s">
        <v>1478</v>
      </c>
      <c r="D2" s="4">
        <f>COUNTIF(Sintomas!$I$2:$I$73,"*"&amp;A2&amp;"*")</f>
        <v>9</v>
      </c>
    </row>
    <row r="3" spans="1:4" x14ac:dyDescent="0.25">
      <c r="A3" s="4" t="s">
        <v>337</v>
      </c>
      <c r="B3" s="4" t="s">
        <v>62</v>
      </c>
      <c r="C3" s="41" t="s">
        <v>1479</v>
      </c>
      <c r="D3" s="4">
        <f>COUNTIF(Sintomas!$I$2:$I$73,"*"&amp;A3&amp;"*")</f>
        <v>7</v>
      </c>
    </row>
    <row r="4" spans="1:4" x14ac:dyDescent="0.25">
      <c r="A4" s="4" t="s">
        <v>1480</v>
      </c>
      <c r="B4" s="4" t="s">
        <v>62</v>
      </c>
      <c r="C4" s="41" t="s">
        <v>1481</v>
      </c>
      <c r="D4" s="4">
        <f>COUNTIF(Sintomas!$I$2:$I$73,"*"&amp;A4&amp;"*")</f>
        <v>8</v>
      </c>
    </row>
    <row r="5" spans="1:4" x14ac:dyDescent="0.25">
      <c r="A5" s="4" t="s">
        <v>1482</v>
      </c>
      <c r="B5" s="4" t="s">
        <v>1483</v>
      </c>
      <c r="C5" s="41" t="s">
        <v>1484</v>
      </c>
      <c r="D5" s="4">
        <f>COUNTIF(Sintomas!$I$2:$I$73,"*"&amp;A5&amp;"*")</f>
        <v>5</v>
      </c>
    </row>
    <row r="6" spans="1:4" x14ac:dyDescent="0.25">
      <c r="A6" s="4" t="s">
        <v>473</v>
      </c>
      <c r="B6" s="4" t="s">
        <v>140</v>
      </c>
      <c r="C6" s="41" t="s">
        <v>1485</v>
      </c>
      <c r="D6" s="4">
        <f>COUNTIF(Sintomas!$I$2:$I$73,"*"&amp;A6&amp;"*")</f>
        <v>7</v>
      </c>
    </row>
    <row r="7" spans="1:4" x14ac:dyDescent="0.25">
      <c r="A7" s="4" t="s">
        <v>1486</v>
      </c>
      <c r="B7" s="4" t="s">
        <v>360</v>
      </c>
      <c r="C7" s="41" t="s">
        <v>1487</v>
      </c>
      <c r="D7" s="4">
        <f>COUNTIF(Sintomas!$I$2:$I$73,"*"&amp;A7&amp;"*")</f>
        <v>6</v>
      </c>
    </row>
    <row r="8" spans="1:4" x14ac:dyDescent="0.25">
      <c r="A8" s="4" t="s">
        <v>1488</v>
      </c>
      <c r="B8" s="4" t="s">
        <v>73</v>
      </c>
      <c r="C8" s="41" t="s">
        <v>1489</v>
      </c>
      <c r="D8" s="4">
        <f>COUNTIF(Sintomas!$I$2:$I$73,"*"&amp;A8&amp;"*")</f>
        <v>4</v>
      </c>
    </row>
    <row r="9" spans="1:4" x14ac:dyDescent="0.25">
      <c r="A9" s="4" t="s">
        <v>1490</v>
      </c>
      <c r="B9" s="4" t="s">
        <v>73</v>
      </c>
      <c r="C9" s="41" t="s">
        <v>1491</v>
      </c>
      <c r="D9" s="4">
        <f>COUNTIF(Sintomas!$I$2:$I$73,"*"&amp;A9&amp;"*")</f>
        <v>0</v>
      </c>
    </row>
    <row r="10" spans="1:4" x14ac:dyDescent="0.25">
      <c r="A10" s="4" t="s">
        <v>1492</v>
      </c>
      <c r="B10" s="4" t="s">
        <v>216</v>
      </c>
      <c r="C10" s="41" t="s">
        <v>1493</v>
      </c>
      <c r="D10" s="4">
        <f>COUNTIF(Sintomas!$I$2:$I$73,"*"&amp;A10&amp;"*")</f>
        <v>15</v>
      </c>
    </row>
    <row r="11" spans="1:4" x14ac:dyDescent="0.25">
      <c r="A11" s="4" t="s">
        <v>1494</v>
      </c>
      <c r="B11" s="4" t="s">
        <v>297</v>
      </c>
      <c r="C11" s="41" t="s">
        <v>1495</v>
      </c>
      <c r="D11" s="4">
        <f>COUNTIF(Sintomas!$I$2:$I$73,"*"&amp;A11&amp;"*")</f>
        <v>9</v>
      </c>
    </row>
    <row r="12" spans="1:4" x14ac:dyDescent="0.25">
      <c r="A12" s="4" t="s">
        <v>119</v>
      </c>
      <c r="B12" s="4" t="s">
        <v>120</v>
      </c>
      <c r="C12" s="41" t="s">
        <v>1496</v>
      </c>
      <c r="D12" s="4">
        <f>COUNTIF(Sintomas!$I$2:$I$73,"*"&amp;A12&amp;"*")</f>
        <v>14</v>
      </c>
    </row>
    <row r="13" spans="1:4" x14ac:dyDescent="0.25">
      <c r="A13" s="4" t="s">
        <v>1497</v>
      </c>
      <c r="B13" s="4" t="s">
        <v>148</v>
      </c>
      <c r="C13" s="41" t="s">
        <v>1498</v>
      </c>
      <c r="D13" s="4">
        <f>COUNTIF(Sintomas!$I$2:$I$73,"*"&amp;A13&amp;"*")</f>
        <v>11</v>
      </c>
    </row>
    <row r="14" spans="1:4" x14ac:dyDescent="0.25">
      <c r="A14" s="4" t="s">
        <v>369</v>
      </c>
      <c r="B14" s="4" t="s">
        <v>265</v>
      </c>
      <c r="C14" s="41" t="s">
        <v>1499</v>
      </c>
      <c r="D14" s="4">
        <f>COUNTIF(Sintomas!$I$2:$I$73,"*"&amp;A14&amp;"*")</f>
        <v>10</v>
      </c>
    </row>
    <row r="15" spans="1:4" x14ac:dyDescent="0.25">
      <c r="A15" s="4" t="s">
        <v>1500</v>
      </c>
      <c r="B15" s="4" t="s">
        <v>100</v>
      </c>
      <c r="C15" s="41" t="s">
        <v>1501</v>
      </c>
      <c r="D15" s="4">
        <f>COUNTIF(Sintomas!$I$2:$I$73,"*"&amp;A15&amp;"*")</f>
        <v>11</v>
      </c>
    </row>
    <row r="16" spans="1:4" x14ac:dyDescent="0.25">
      <c r="A16" s="4" t="s">
        <v>443</v>
      </c>
      <c r="B16" s="4" t="s">
        <v>321</v>
      </c>
      <c r="C16" s="41" t="s">
        <v>1502</v>
      </c>
      <c r="D16" s="4">
        <f>COUNTIF(Sintomas!$I$2:$I$73,"*"&amp;A16&amp;"*")</f>
        <v>14</v>
      </c>
    </row>
    <row r="17" spans="1:4" x14ac:dyDescent="0.25">
      <c r="A17" s="4" t="s">
        <v>420</v>
      </c>
      <c r="B17" s="4" t="s">
        <v>149</v>
      </c>
      <c r="C17" s="41" t="s">
        <v>1503</v>
      </c>
      <c r="D17" s="4">
        <f>COUNTIF(Sintomas!$I$2:$I$73,"*"&amp;A17&amp;"*")</f>
        <v>12</v>
      </c>
    </row>
    <row r="18" spans="1:4" x14ac:dyDescent="0.25">
      <c r="A18" s="4" t="s">
        <v>1504</v>
      </c>
      <c r="B18" s="4" t="s">
        <v>159</v>
      </c>
      <c r="C18" s="41" t="s">
        <v>1505</v>
      </c>
      <c r="D18" s="4">
        <f>COUNTIF(Sintomas!$I$2:$I$73,"*"&amp;A18&amp;"*")</f>
        <v>12</v>
      </c>
    </row>
    <row r="19" spans="1:4" x14ac:dyDescent="0.25">
      <c r="A19" s="4" t="s">
        <v>558</v>
      </c>
      <c r="B19" s="4" t="s">
        <v>101</v>
      </c>
      <c r="C19" s="41" t="s">
        <v>1506</v>
      </c>
      <c r="D19" s="4">
        <f>COUNTIF(Sintomas!$I$2:$I$73,"*"&amp;A19&amp;"*")</f>
        <v>15</v>
      </c>
    </row>
    <row r="20" spans="1:4" x14ac:dyDescent="0.25">
      <c r="A20" s="4" t="s">
        <v>1507</v>
      </c>
      <c r="B20" s="4" t="s">
        <v>504</v>
      </c>
      <c r="C20" s="41" t="s">
        <v>1508</v>
      </c>
      <c r="D20" s="4">
        <f>COUNTIF(Sintomas!$I$2:$I$73,"*"&amp;A20&amp;"*")</f>
        <v>2</v>
      </c>
    </row>
    <row r="21" spans="1:4" x14ac:dyDescent="0.25">
      <c r="A21" s="4" t="s">
        <v>1509</v>
      </c>
      <c r="B21" s="4" t="s">
        <v>92</v>
      </c>
      <c r="C21" s="41" t="s">
        <v>1510</v>
      </c>
      <c r="D21" s="4">
        <f>COUNTIF(Sintomas!$I$2:$I$73,"*"&amp;A21&amp;"*")</f>
        <v>8</v>
      </c>
    </row>
    <row r="22" spans="1:4" x14ac:dyDescent="0.25">
      <c r="A22" s="4" t="s">
        <v>83</v>
      </c>
      <c r="B22" s="4" t="s">
        <v>63</v>
      </c>
      <c r="C22" s="41" t="s">
        <v>1511</v>
      </c>
      <c r="D22" s="4">
        <f>COUNTIF(Sintomas!$I$2:$I$73,"*"&amp;A22&amp;"*")</f>
        <v>8</v>
      </c>
    </row>
    <row r="23" spans="1:4" x14ac:dyDescent="0.25">
      <c r="A23" s="4" t="s">
        <v>110</v>
      </c>
      <c r="B23" s="4" t="s">
        <v>74</v>
      </c>
      <c r="C23" s="41" t="s">
        <v>1512</v>
      </c>
      <c r="D23" s="4">
        <f>COUNTIF(Sintomas!$I$2:$I$73,"*"&amp;A23&amp;"*")</f>
        <v>13</v>
      </c>
    </row>
    <row r="24" spans="1:4" x14ac:dyDescent="0.25">
      <c r="A24" s="4" t="s">
        <v>1513</v>
      </c>
      <c r="B24" s="4" t="s">
        <v>74</v>
      </c>
      <c r="C24" s="41" t="s">
        <v>1514</v>
      </c>
      <c r="D24" s="4">
        <f>COUNTIF(Sintomas!$I$2:$I$73,"*"&amp;A24&amp;"*")</f>
        <v>8</v>
      </c>
    </row>
    <row r="25" spans="1:4" x14ac:dyDescent="0.25">
      <c r="A25" s="4" t="s">
        <v>1515</v>
      </c>
      <c r="B25" s="4" t="s">
        <v>1516</v>
      </c>
      <c r="C25" s="41" t="s">
        <v>1517</v>
      </c>
      <c r="D25" s="4">
        <f>COUNTIF(Sintomas!$I$2:$I$73,"*"&amp;A25&amp;"*")</f>
        <v>8</v>
      </c>
    </row>
    <row r="27" spans="1:4" x14ac:dyDescent="0.25">
      <c r="A27" s="26" t="s">
        <v>1518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11</vt:i4>
      </vt:variant>
    </vt:vector>
  </HeadingPairs>
  <TitlesOfParts>
    <vt:vector size="11" baseType="lpstr">
      <vt:lpstr>Leia-me</vt:lpstr>
      <vt:lpstr>Resumo</vt:lpstr>
      <vt:lpstr>Sintomas</vt:lpstr>
      <vt:lpstr>Taxonomia</vt:lpstr>
      <vt:lpstr>Guia 1 Lente DO</vt:lpstr>
      <vt:lpstr>Guia 2 Fluxo demanda</vt:lpstr>
      <vt:lpstr>Guia 3 Triagem</vt:lpstr>
      <vt:lpstr>Guia 4 Concepcao-Entrega</vt:lpstr>
      <vt:lpstr>Guia 5 Blueprint Org</vt:lpstr>
      <vt:lpstr>Guia 6 Co-criacao</vt:lpstr>
      <vt:lpstr>Fontes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 Leite</cp:lastModifiedBy>
  <dcterms:created xsi:type="dcterms:W3CDTF">2026-09-01T22:34:56Z</dcterms:created>
  <dcterms:modified xsi:type="dcterms:W3CDTF">2026-09-01T22:49:49Z</dcterms:modified>
</cp:coreProperties>
</file>