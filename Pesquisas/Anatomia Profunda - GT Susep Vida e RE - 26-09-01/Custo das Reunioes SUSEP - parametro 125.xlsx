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  <b val="1"/>
      <color rgb="000000FF"/>
    </font>
    <font>
      <name val="Arial"/>
      <i val="1"/>
      <sz val="9"/>
    </font>
    <font>
      <name val="Arial"/>
      <b val="1"/>
      <color rgb="00FFFFFF"/>
    </font>
    <font>
      <name val="Arial"/>
      <color rgb="00000000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3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wrapText="1"/>
    </xf>
    <xf numFmtId="0" fontId="6" fillId="0" borderId="1" pivotButton="0" quotePrefix="0" xfId="0"/>
    <xf numFmtId="0" fontId="7" fillId="0" borderId="1" pivotButton="0" quotePrefix="0" xfId="0"/>
    <xf numFmtId="3" fontId="6" fillId="0" borderId="1" pivotButton="0" quotePrefix="0" xfId="0"/>
    <xf numFmtId="3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10" customWidth="1" min="4" max="4"/>
    <col width="20" customWidth="1" min="5" max="5"/>
    <col width="20" customWidth="1" min="6" max="6"/>
  </cols>
  <sheetData>
    <row r="1">
      <c r="A1" s="1" t="inlineStr">
        <is>
          <t>CUSTO DO SISTEMA DE REUNIÕES · SUSEP Vida e RE · proposta x atual</t>
        </is>
      </c>
    </row>
    <row r="3">
      <c r="A3" s="2" t="inlineStr">
        <is>
          <t>Valor-hora médio da sala (R$)</t>
        </is>
      </c>
      <c r="B3" s="3" t="n">
        <v>125</v>
      </c>
      <c r="C3" s="4" t="inlineStr">
        <is>
          <t>Célula de entrada: altere e tudo recalcula</t>
        </is>
      </c>
    </row>
    <row r="5">
      <c r="A5" s="2" t="inlineStr">
        <is>
          <t>Sistema proposto</t>
        </is>
      </c>
    </row>
    <row r="6">
      <c r="A6" s="5" t="inlineStr">
        <is>
          <t>Rito</t>
        </is>
      </c>
      <c r="B6" s="5" t="inlineStr">
        <is>
          <t>Sessões no ano</t>
        </is>
      </c>
      <c r="C6" s="5" t="inlineStr">
        <is>
          <t>Duração (h)</t>
        </is>
      </c>
      <c r="D6" s="5" t="inlineStr">
        <is>
          <t>Pessoas</t>
        </is>
      </c>
      <c r="E6" s="5" t="inlineStr">
        <is>
          <t>Horas-pessoa no ano</t>
        </is>
      </c>
      <c r="F6" s="5" t="inlineStr">
        <is>
          <t>Custo no ano (R$)</t>
        </is>
      </c>
    </row>
    <row r="7">
      <c r="A7" s="6" t="inlineStr">
        <is>
          <t>Planejamento estratégico</t>
        </is>
      </c>
      <c r="B7" s="7" t="n">
        <v>1</v>
      </c>
      <c r="C7" s="7" t="n">
        <v>8</v>
      </c>
      <c r="D7" s="7" t="n">
        <v>12</v>
      </c>
      <c r="E7" s="8">
        <f>B7*C7*D7</f>
        <v/>
      </c>
      <c r="F7" s="8">
        <f>E7*$B$3</f>
        <v/>
      </c>
    </row>
    <row r="8">
      <c r="A8" s="6" t="inlineStr">
        <is>
          <t>PIE</t>
        </is>
      </c>
      <c r="B8" s="7" t="n">
        <v>4</v>
      </c>
      <c r="C8" s="7" t="n">
        <v>4</v>
      </c>
      <c r="D8" s="7" t="n">
        <v>15</v>
      </c>
      <c r="E8" s="8">
        <f>B8*C8*D8</f>
        <v/>
      </c>
      <c r="F8" s="8">
        <f>E8*$B$3</f>
        <v/>
      </c>
    </row>
    <row r="9">
      <c r="A9" s="6" t="inlineStr">
        <is>
          <t>Fórum de Negócio SUSEP</t>
        </is>
      </c>
      <c r="B9" s="7" t="n">
        <v>12</v>
      </c>
      <c r="C9" s="7" t="n">
        <v>2</v>
      </c>
      <c r="D9" s="7" t="n">
        <v>15</v>
      </c>
      <c r="E9" s="8">
        <f>B9*C9*D9</f>
        <v/>
      </c>
      <c r="F9" s="8">
        <f>E9*$B$3</f>
        <v/>
      </c>
    </row>
    <row r="10">
      <c r="A10" s="6" t="inlineStr">
        <is>
          <t>Mentoria por tema</t>
        </is>
      </c>
      <c r="B10" s="7" t="n">
        <v>12</v>
      </c>
      <c r="C10" s="7" t="n">
        <v>1</v>
      </c>
      <c r="D10" s="7" t="n">
        <v>6</v>
      </c>
      <c r="E10" s="8">
        <f>B10*C10*D10</f>
        <v/>
      </c>
      <c r="F10" s="8">
        <f>E10*$B$3</f>
        <v/>
      </c>
    </row>
    <row r="11">
      <c r="A11" s="6" t="inlineStr">
        <is>
          <t>Abertura da esteira (Vida e RE)</t>
        </is>
      </c>
      <c r="B11" s="7" t="n">
        <v>8</v>
      </c>
      <c r="C11" s="7" t="n">
        <v>2</v>
      </c>
      <c r="D11" s="7" t="n">
        <v>8</v>
      </c>
      <c r="E11" s="8">
        <f>B11*C11*D11</f>
        <v/>
      </c>
      <c r="F11" s="8">
        <f>E11*$B$3</f>
        <v/>
      </c>
    </row>
    <row r="12">
      <c r="A12" s="6" t="inlineStr">
        <is>
          <t>Triagem de demanda</t>
        </is>
      </c>
      <c r="B12" s="7" t="n">
        <v>24</v>
      </c>
      <c r="C12" s="7" t="n">
        <v>0.5</v>
      </c>
      <c r="D12" s="7" t="n">
        <v>8</v>
      </c>
      <c r="E12" s="8">
        <f>B12*C12*D12</f>
        <v/>
      </c>
      <c r="F12" s="8">
        <f>E12*$B$3</f>
        <v/>
      </c>
    </row>
    <row r="13">
      <c r="A13" s="6" t="inlineStr">
        <is>
          <t>Comitê de priorização</t>
        </is>
      </c>
      <c r="B13" s="7" t="n">
        <v>12</v>
      </c>
      <c r="C13" s="7" t="n">
        <v>1</v>
      </c>
      <c r="D13" s="7" t="n">
        <v>10</v>
      </c>
      <c r="E13" s="8">
        <f>B13*C13*D13</f>
        <v/>
      </c>
      <c r="F13" s="8">
        <f>E13*$B$3</f>
        <v/>
      </c>
    </row>
    <row r="14">
      <c r="A14" s="6" t="inlineStr">
        <is>
          <t>Reunião da esteira (Vida e RE)</t>
        </is>
      </c>
      <c r="B14" s="7" t="n">
        <v>96</v>
      </c>
      <c r="C14" s="7" t="n">
        <v>1.5</v>
      </c>
      <c r="D14" s="7" t="n">
        <v>8</v>
      </c>
      <c r="E14" s="8">
        <f>B14*C14*D14</f>
        <v/>
      </c>
      <c r="F14" s="8">
        <f>E14*$B$3</f>
        <v/>
      </c>
    </row>
    <row r="15">
      <c r="A15" s="6" t="inlineStr">
        <is>
          <t>Sala de descoberta (6 desafios por ano)</t>
        </is>
      </c>
      <c r="B15" s="7" t="n">
        <v>36</v>
      </c>
      <c r="C15" s="7" t="n">
        <v>2</v>
      </c>
      <c r="D15" s="7" t="n">
        <v>4</v>
      </c>
      <c r="E15" s="8">
        <f>B15*C15*D15</f>
        <v/>
      </c>
      <c r="F15" s="8">
        <f>E15*$B$3</f>
        <v/>
      </c>
    </row>
    <row r="16">
      <c r="A16" s="6" t="inlineStr">
        <is>
          <t>Revisão do time dedicado</t>
        </is>
      </c>
      <c r="B16" s="7" t="n">
        <v>24</v>
      </c>
      <c r="C16" s="7" t="n">
        <v>0.75</v>
      </c>
      <c r="D16" s="7" t="n">
        <v>8</v>
      </c>
      <c r="E16" s="8">
        <f>B16*C16*D16</f>
        <v/>
      </c>
      <c r="F16" s="8">
        <f>E16*$B$3</f>
        <v/>
      </c>
    </row>
    <row r="17">
      <c r="A17" s="6" t="inlineStr">
        <is>
          <t>Reunião diária do núcleo</t>
        </is>
      </c>
      <c r="B17" s="7" t="n">
        <v>220</v>
      </c>
      <c r="C17" s="7" t="n">
        <v>0.25</v>
      </c>
      <c r="D17" s="7" t="n">
        <v>3</v>
      </c>
      <c r="E17" s="8">
        <f>B17*C17*D17</f>
        <v/>
      </c>
      <c r="F17" s="8">
        <f>E17*$B$3</f>
        <v/>
      </c>
    </row>
    <row r="18">
      <c r="A18" s="6" t="inlineStr">
        <is>
          <t>Sala de guerra (4 temas por ano)</t>
        </is>
      </c>
      <c r="B18" s="7" t="n">
        <v>32</v>
      </c>
      <c r="C18" s="7" t="n">
        <v>1</v>
      </c>
      <c r="D18" s="7" t="n">
        <v>6</v>
      </c>
      <c r="E18" s="8">
        <f>B18*C18*D18</f>
        <v/>
      </c>
      <c r="F18" s="8">
        <f>E18*$B$3</f>
        <v/>
      </c>
    </row>
    <row r="19">
      <c r="A19" s="2" t="inlineStr">
        <is>
          <t>Total</t>
        </is>
      </c>
      <c r="E19" s="9">
        <f>SUM(E7:E18)</f>
        <v/>
      </c>
      <c r="F19" s="9">
        <f>SUM(F7:F18)</f>
        <v/>
      </c>
    </row>
    <row r="21">
      <c r="A21" s="2" t="inlineStr">
        <is>
          <t>Sistema atual (estimado a partir das atas)</t>
        </is>
      </c>
    </row>
    <row r="22">
      <c r="A22" s="5" t="inlineStr">
        <is>
          <t>Rito</t>
        </is>
      </c>
      <c r="B22" s="5" t="inlineStr">
        <is>
          <t>Sessões no ano</t>
        </is>
      </c>
      <c r="C22" s="5" t="inlineStr">
        <is>
          <t>Duração (h)</t>
        </is>
      </c>
      <c r="D22" s="5" t="inlineStr">
        <is>
          <t>Pessoas</t>
        </is>
      </c>
      <c r="E22" s="5" t="inlineStr">
        <is>
          <t>Horas-pessoa no ano</t>
        </is>
      </c>
      <c r="F22" s="5" t="inlineStr">
        <is>
          <t>Custo no ano (R$)</t>
        </is>
      </c>
    </row>
    <row r="23">
      <c r="A23" s="6" t="inlineStr">
        <is>
          <t>Reunião semanal mista Vida e RE</t>
        </is>
      </c>
      <c r="B23" s="7" t="n">
        <v>48</v>
      </c>
      <c r="C23" s="7" t="n">
        <v>1.5</v>
      </c>
      <c r="D23" s="7" t="n">
        <v>10</v>
      </c>
      <c r="E23" s="8">
        <f>B23*C23*D23</f>
        <v/>
      </c>
      <c r="F23" s="8">
        <f>E23*$B$3</f>
        <v/>
      </c>
    </row>
    <row r="24">
      <c r="A24" s="6" t="inlineStr">
        <is>
          <t>S&amp;OP Vida</t>
        </is>
      </c>
      <c r="B24" s="7" t="n">
        <v>12</v>
      </c>
      <c r="C24" s="7" t="n">
        <v>2</v>
      </c>
      <c r="D24" s="7" t="n">
        <v>10</v>
      </c>
      <c r="E24" s="8">
        <f>B24*C24*D24</f>
        <v/>
      </c>
      <c r="F24" s="8">
        <f>E24*$B$3</f>
        <v/>
      </c>
    </row>
    <row r="25">
      <c r="A25" s="6" t="inlineStr">
        <is>
          <t>Diagnóstico SUSEP</t>
        </is>
      </c>
      <c r="B25" s="7" t="n">
        <v>12</v>
      </c>
      <c r="C25" s="7" t="n">
        <v>2</v>
      </c>
      <c r="D25" s="7" t="n">
        <v>10</v>
      </c>
      <c r="E25" s="8">
        <f>B25*C25*D25</f>
        <v/>
      </c>
      <c r="F25" s="8">
        <f>E25*$B$3</f>
        <v/>
      </c>
    </row>
    <row r="26">
      <c r="A26" s="6" t="inlineStr">
        <is>
          <t>Fórum de Gestão Estratégica (até 4h)</t>
        </is>
      </c>
      <c r="B26" s="7" t="n">
        <v>12</v>
      </c>
      <c r="C26" s="7" t="n">
        <v>4</v>
      </c>
      <c r="D26" s="7" t="n">
        <v>15</v>
      </c>
      <c r="E26" s="8">
        <f>B26*C26*D26</f>
        <v/>
      </c>
      <c r="F26" s="8">
        <f>E26*$B$3</f>
        <v/>
      </c>
    </row>
    <row r="27">
      <c r="A27" s="6" t="inlineStr">
        <is>
          <t>Mentoria (30 min)</t>
        </is>
      </c>
      <c r="B27" s="7" t="n">
        <v>12</v>
      </c>
      <c r="C27" s="7" t="n">
        <v>0.5</v>
      </c>
      <c r="D27" s="7" t="n">
        <v>6</v>
      </c>
      <c r="E27" s="8">
        <f>B27*C27*D27</f>
        <v/>
      </c>
      <c r="F27" s="8">
        <f>E27*$B$3</f>
        <v/>
      </c>
    </row>
    <row r="28">
      <c r="A28" s="6" t="inlineStr">
        <is>
          <t>PIE</t>
        </is>
      </c>
      <c r="B28" s="7" t="n">
        <v>4</v>
      </c>
      <c r="C28" s="7" t="n">
        <v>4</v>
      </c>
      <c r="D28" s="7" t="n">
        <v>15</v>
      </c>
      <c r="E28" s="8">
        <f>B28*C28*D28</f>
        <v/>
      </c>
      <c r="F28" s="8">
        <f>E28*$B$3</f>
        <v/>
      </c>
    </row>
    <row r="29">
      <c r="A29" s="6" t="inlineStr">
        <is>
          <t>Planejamento estratégico</t>
        </is>
      </c>
      <c r="B29" s="7" t="n">
        <v>1</v>
      </c>
      <c r="C29" s="7" t="n">
        <v>8</v>
      </c>
      <c r="D29" s="7" t="n">
        <v>12</v>
      </c>
      <c r="E29" s="8">
        <f>B29*C29*D29</f>
        <v/>
      </c>
      <c r="F29" s="8">
        <f>E29*$B$3</f>
        <v/>
      </c>
    </row>
    <row r="30">
      <c r="A30" s="2" t="inlineStr">
        <is>
          <t>Total</t>
        </is>
      </c>
      <c r="E30" s="9">
        <f>SUM(E23:E29)</f>
        <v/>
      </c>
      <c r="F30" s="9">
        <f>SUM(F23:F29)</f>
        <v/>
      </c>
    </row>
    <row r="32">
      <c r="A32" s="2" t="inlineStr">
        <is>
          <t>Diferença anual (proposto menos atual)</t>
        </is>
      </c>
      <c r="E32" s="10">
        <f>E19-E30</f>
        <v/>
      </c>
      <c r="F32" s="10">
        <f>F19-F30</f>
        <v/>
      </c>
    </row>
    <row r="34">
      <c r="A34" s="4" t="inlineStr">
        <is>
          <t>Legenda: azul = entrada (sessões, duração, pessoas, valor-hora); preto = fórmula. Pessoas e sessões são hipóteses de partida para o time corrigir. Fonte: Anatomia Profunda GT Susep Vida e RE, 01/09/2026.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2026-09-02T00:04:45Z</dcterms:created>
  <dcterms:modified xmlns:dcterms="http://purl.org/dc/terms/" xmlns:xsi="http://www.w3.org/2001/XMLSchema-instance" xsi:type="dcterms:W3CDTF">2026-09-02T00:04:45Z</dcterms:modified>
</cp:coreProperties>
</file>